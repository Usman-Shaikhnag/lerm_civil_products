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WD_SN580/knack17/practice-addon17/"/>
    </mc:Choice>
  </mc:AlternateContent>
  <xr:revisionPtr revIDLastSave="0" documentId="8_{D3E2CE53-F4E6-3E4E-8C37-4C67475E541C}" xr6:coauthVersionLast="47" xr6:coauthVersionMax="47" xr10:uidLastSave="{00000000-0000-0000-0000-000000000000}"/>
  <bookViews>
    <workbookView xWindow="0" yWindow="0" windowWidth="33600" windowHeight="21000" xr2:uid="{C123DFF5-3A63-6F40-ACAA-61FFB0E39E9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4" i="1" l="1"/>
  <c r="E34" i="1" s="1"/>
  <c r="F33" i="1"/>
  <c r="G33" i="1" s="1"/>
  <c r="D33" i="1"/>
  <c r="E33" i="1" s="1"/>
  <c r="F32" i="1"/>
  <c r="G32" i="1" s="1"/>
  <c r="D32" i="1"/>
  <c r="E32" i="1" s="1"/>
  <c r="F31" i="1"/>
  <c r="G31" i="1" s="1"/>
  <c r="D31" i="1"/>
  <c r="E31" i="1" s="1"/>
  <c r="F30" i="1"/>
  <c r="G30" i="1" s="1"/>
  <c r="D30" i="1"/>
  <c r="E30" i="1" s="1"/>
  <c r="F29" i="1"/>
  <c r="G29" i="1" s="1"/>
  <c r="D29" i="1"/>
  <c r="E29" i="1" s="1"/>
  <c r="F28" i="1"/>
  <c r="G28" i="1" s="1"/>
  <c r="D28" i="1"/>
  <c r="E28" i="1" s="1"/>
  <c r="F27" i="1"/>
  <c r="G27" i="1" s="1"/>
  <c r="D27" i="1"/>
  <c r="E27" i="1" s="1"/>
  <c r="F26" i="1"/>
  <c r="G26" i="1" s="1"/>
  <c r="D26" i="1"/>
  <c r="E26" i="1" s="1"/>
  <c r="F25" i="1"/>
  <c r="G25" i="1" s="1"/>
  <c r="D25" i="1"/>
  <c r="E25" i="1" s="1"/>
  <c r="F24" i="1"/>
  <c r="G24" i="1" s="1"/>
  <c r="D24" i="1"/>
  <c r="E24" i="1" s="1"/>
  <c r="F23" i="1"/>
  <c r="G23" i="1" s="1"/>
  <c r="D23" i="1"/>
  <c r="E23" i="1" s="1"/>
  <c r="F22" i="1"/>
  <c r="G22" i="1" s="1"/>
  <c r="D22" i="1"/>
  <c r="E22" i="1" s="1"/>
  <c r="D20" i="1"/>
  <c r="E20" i="1" s="1"/>
  <c r="D19" i="1"/>
  <c r="E19" i="1" s="1"/>
  <c r="D18" i="1"/>
  <c r="E18" i="1" s="1"/>
  <c r="G17" i="1"/>
  <c r="E17" i="1"/>
  <c r="D17" i="1"/>
  <c r="D16" i="1"/>
  <c r="E16" i="1" s="1"/>
  <c r="D15" i="1"/>
  <c r="E15" i="1" s="1"/>
  <c r="G14" i="1"/>
  <c r="D14" i="1"/>
  <c r="D13" i="1"/>
  <c r="E13" i="1" s="1"/>
  <c r="G12" i="1"/>
  <c r="D12" i="1"/>
  <c r="E12" i="1" s="1"/>
  <c r="D11" i="1"/>
  <c r="E11" i="1" s="1"/>
  <c r="D10" i="1"/>
  <c r="E10" i="1" s="1"/>
  <c r="G9" i="1"/>
  <c r="E9" i="1"/>
  <c r="D9" i="1"/>
  <c r="D8" i="1"/>
  <c r="E8" i="1" s="1"/>
  <c r="F4" i="1"/>
  <c r="G34" i="1" s="1"/>
  <c r="C3" i="1"/>
  <c r="G10" i="1" l="1"/>
  <c r="G13" i="1"/>
  <c r="G8" i="1"/>
  <c r="G16" i="1"/>
  <c r="G15" i="1"/>
  <c r="G11" i="1"/>
  <c r="E14" i="1"/>
  <c r="G19" i="1"/>
  <c r="G20" i="1"/>
  <c r="G18" i="1"/>
</calcChain>
</file>

<file path=xl/sharedStrings.xml><?xml version="1.0" encoding="utf-8"?>
<sst xmlns="http://schemas.openxmlformats.org/spreadsheetml/2006/main" count="22" uniqueCount="19">
  <si>
    <t>Initial Static test calculation</t>
  </si>
  <si>
    <t>Design Load :</t>
  </si>
  <si>
    <t>Tons</t>
  </si>
  <si>
    <t>No. of Jack</t>
  </si>
  <si>
    <t>No</t>
  </si>
  <si>
    <t>Test Load :</t>
  </si>
  <si>
    <t>Ram Area of Jack</t>
  </si>
  <si>
    <r>
      <t>cm</t>
    </r>
    <r>
      <rPr>
        <b/>
        <vertAlign val="superscript"/>
        <sz val="10"/>
        <color theme="1"/>
        <rFont val="Times New Roman"/>
        <family val="1"/>
      </rPr>
      <t>2</t>
    </r>
  </si>
  <si>
    <t>Jack Capacity :</t>
  </si>
  <si>
    <t xml:space="preserve"> Total Ram Area of Jack</t>
  </si>
  <si>
    <t>Sr. No.</t>
  </si>
  <si>
    <t>Load Increment</t>
  </si>
  <si>
    <t>Rate of Loading%</t>
  </si>
  <si>
    <t>Total Loading in Tons</t>
  </si>
  <si>
    <r>
      <t>Pressure Gauge Reading kg/cm</t>
    </r>
    <r>
      <rPr>
        <b/>
        <vertAlign val="superscript"/>
        <sz val="10"/>
        <color theme="1"/>
        <rFont val="Times New Roman"/>
        <family val="1"/>
      </rPr>
      <t>2</t>
    </r>
  </si>
  <si>
    <t>Rounded PG Reading</t>
  </si>
  <si>
    <t>Actual Applied Loading Tons</t>
  </si>
  <si>
    <t>Loading</t>
  </si>
  <si>
    <t>Unloading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</si>
</sst>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2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vertAlign val="superscript"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164" fontId="1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1" fontId="3" fillId="0" borderId="18" xfId="0" applyNumberFormat="1" applyFont="1" applyBorder="1" applyAlignment="1">
      <alignment horizontal="center" vertical="center" wrapText="1"/>
    </xf>
    <xf numFmtId="164" fontId="3" fillId="0" borderId="15" xfId="0" applyNumberFormat="1" applyFont="1" applyBorder="1" applyAlignment="1">
      <alignment horizontal="center" vertical="center" wrapText="1"/>
    </xf>
    <xf numFmtId="2" fontId="3" fillId="0" borderId="19" xfId="0" applyNumberFormat="1" applyFont="1" applyBorder="1" applyAlignment="1">
      <alignment horizontal="center" vertical="center" wrapText="1"/>
    </xf>
    <xf numFmtId="1" fontId="3" fillId="0" borderId="16" xfId="0" applyNumberFormat="1" applyFont="1" applyBorder="1" applyAlignment="1">
      <alignment horizontal="center" vertical="center" wrapText="1"/>
    </xf>
    <xf numFmtId="2" fontId="3" fillId="0" borderId="16" xfId="0" applyNumberFormat="1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F15F2-DD20-F143-A7A1-CA2102B9EB27}">
  <dimension ref="A1:G34"/>
  <sheetViews>
    <sheetView tabSelected="1" workbookViewId="0">
      <selection activeCell="C3" sqref="C3"/>
    </sheetView>
  </sheetViews>
  <sheetFormatPr baseColWidth="10" defaultRowHeight="16" x14ac:dyDescent="0.2"/>
  <sheetData>
    <row r="1" spans="1:7" ht="17" thickBot="1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">
      <c r="A2" s="2" t="s">
        <v>1</v>
      </c>
      <c r="B2" s="3"/>
      <c r="C2" s="4">
        <v>400</v>
      </c>
      <c r="D2" s="5" t="s">
        <v>2</v>
      </c>
      <c r="E2" s="6" t="s">
        <v>3</v>
      </c>
      <c r="F2" s="6">
        <v>1</v>
      </c>
      <c r="G2" s="7" t="s">
        <v>4</v>
      </c>
    </row>
    <row r="3" spans="1:7" ht="28" x14ac:dyDescent="0.2">
      <c r="A3" s="8" t="s">
        <v>5</v>
      </c>
      <c r="B3" s="9"/>
      <c r="C3" s="10">
        <f>C2*2.5</f>
        <v>1000</v>
      </c>
      <c r="D3" s="11" t="s">
        <v>2</v>
      </c>
      <c r="E3" s="10" t="s">
        <v>6</v>
      </c>
      <c r="F3" s="10">
        <v>1810.28</v>
      </c>
      <c r="G3" s="12" t="s">
        <v>7</v>
      </c>
    </row>
    <row r="4" spans="1:7" ht="29" thickBot="1" x14ac:dyDescent="0.25">
      <c r="A4" s="13" t="s">
        <v>8</v>
      </c>
      <c r="B4" s="9"/>
      <c r="C4" s="10">
        <v>1000</v>
      </c>
      <c r="D4" s="11" t="s">
        <v>2</v>
      </c>
      <c r="E4" s="10" t="s">
        <v>9</v>
      </c>
      <c r="F4" s="10">
        <f>F3*F2</f>
        <v>1810.28</v>
      </c>
      <c r="G4" s="14" t="s">
        <v>7</v>
      </c>
    </row>
    <row r="5" spans="1:7" ht="59" thickBot="1" x14ac:dyDescent="0.25">
      <c r="A5" s="15" t="s">
        <v>10</v>
      </c>
      <c r="B5" s="16" t="s">
        <v>11</v>
      </c>
      <c r="C5" s="17" t="s">
        <v>12</v>
      </c>
      <c r="D5" s="16" t="s">
        <v>13</v>
      </c>
      <c r="E5" s="17" t="s">
        <v>14</v>
      </c>
      <c r="F5" s="18" t="s">
        <v>15</v>
      </c>
      <c r="G5" s="19" t="s">
        <v>16</v>
      </c>
    </row>
    <row r="6" spans="1:7" ht="17" thickBot="1" x14ac:dyDescent="0.25">
      <c r="A6" s="20" t="s">
        <v>17</v>
      </c>
      <c r="B6" s="21"/>
      <c r="C6" s="21"/>
      <c r="D6" s="21"/>
      <c r="E6" s="21"/>
      <c r="F6" s="21"/>
      <c r="G6" s="22"/>
    </row>
    <row r="7" spans="1:7" ht="17" thickBot="1" x14ac:dyDescent="0.25">
      <c r="A7" s="23">
        <v>1</v>
      </c>
      <c r="B7" s="24">
        <v>0</v>
      </c>
      <c r="C7" s="25">
        <v>0</v>
      </c>
      <c r="D7" s="26">
        <v>0</v>
      </c>
      <c r="E7" s="27">
        <v>0</v>
      </c>
      <c r="F7" s="28">
        <v>0</v>
      </c>
      <c r="G7" s="29">
        <v>0</v>
      </c>
    </row>
    <row r="8" spans="1:7" ht="17" thickBot="1" x14ac:dyDescent="0.25">
      <c r="A8" s="23">
        <v>2</v>
      </c>
      <c r="B8" s="24">
        <v>1</v>
      </c>
      <c r="C8" s="30">
        <v>20</v>
      </c>
      <c r="D8" s="26">
        <f>C2*C8/100</f>
        <v>80</v>
      </c>
      <c r="E8" s="27">
        <f>D8/F4*1000</f>
        <v>44.192058687053937</v>
      </c>
      <c r="F8" s="28">
        <v>40</v>
      </c>
      <c r="G8" s="29">
        <f>F8/1000*F4</f>
        <v>72.411199999999994</v>
      </c>
    </row>
    <row r="9" spans="1:7" ht="17" thickBot="1" x14ac:dyDescent="0.25">
      <c r="A9" s="23">
        <v>3</v>
      </c>
      <c r="B9" s="24">
        <v>2</v>
      </c>
      <c r="C9" s="30">
        <v>40</v>
      </c>
      <c r="D9" s="26">
        <f>C2*C9/100</f>
        <v>160</v>
      </c>
      <c r="E9" s="27">
        <f>D9/F4*1000</f>
        <v>88.384117374107873</v>
      </c>
      <c r="F9" s="31">
        <v>90</v>
      </c>
      <c r="G9" s="29">
        <f>F9/1000*F4</f>
        <v>162.92519999999999</v>
      </c>
    </row>
    <row r="10" spans="1:7" ht="17" thickBot="1" x14ac:dyDescent="0.25">
      <c r="A10" s="23">
        <v>4</v>
      </c>
      <c r="B10" s="24">
        <v>3</v>
      </c>
      <c r="C10" s="30">
        <v>60</v>
      </c>
      <c r="D10" s="26">
        <f>C2*C10/100</f>
        <v>240</v>
      </c>
      <c r="E10" s="27">
        <f>D10/F4*1000</f>
        <v>132.57617606116182</v>
      </c>
      <c r="F10" s="31">
        <v>130</v>
      </c>
      <c r="G10" s="29">
        <f>F10/1000*F4</f>
        <v>235.3364</v>
      </c>
    </row>
    <row r="11" spans="1:7" ht="17" thickBot="1" x14ac:dyDescent="0.25">
      <c r="A11" s="23">
        <v>5</v>
      </c>
      <c r="B11" s="24">
        <v>4</v>
      </c>
      <c r="C11" s="30">
        <v>80</v>
      </c>
      <c r="D11" s="26">
        <f>C2*C11/100</f>
        <v>320</v>
      </c>
      <c r="E11" s="27">
        <f>D11/F4*1000</f>
        <v>176.76823474821575</v>
      </c>
      <c r="F11" s="31">
        <v>180</v>
      </c>
      <c r="G11" s="29">
        <f>F11/1000*F4</f>
        <v>325.85039999999998</v>
      </c>
    </row>
    <row r="12" spans="1:7" ht="17" thickBot="1" x14ac:dyDescent="0.25">
      <c r="A12" s="23">
        <v>6</v>
      </c>
      <c r="B12" s="24">
        <v>5</v>
      </c>
      <c r="C12" s="30">
        <v>100</v>
      </c>
      <c r="D12" s="26">
        <f>C2*C12/100</f>
        <v>400</v>
      </c>
      <c r="E12" s="27">
        <f>D12/F4*1000</f>
        <v>220.96029343526968</v>
      </c>
      <c r="F12" s="31">
        <v>220</v>
      </c>
      <c r="G12" s="29">
        <f>F12/1000*F4</f>
        <v>398.26159999999999</v>
      </c>
    </row>
    <row r="13" spans="1:7" ht="17" thickBot="1" x14ac:dyDescent="0.25">
      <c r="A13" s="23">
        <v>7</v>
      </c>
      <c r="B13" s="24">
        <v>6</v>
      </c>
      <c r="C13" s="30">
        <v>120</v>
      </c>
      <c r="D13" s="26">
        <f>C2*C13/100</f>
        <v>480</v>
      </c>
      <c r="E13" s="27">
        <f>D13/F4*1000</f>
        <v>265.15235212232363</v>
      </c>
      <c r="F13" s="31">
        <v>270</v>
      </c>
      <c r="G13" s="29">
        <f>F13/1000*F4</f>
        <v>488.7756</v>
      </c>
    </row>
    <row r="14" spans="1:7" ht="17" thickBot="1" x14ac:dyDescent="0.25">
      <c r="A14" s="23">
        <v>8</v>
      </c>
      <c r="B14" s="24">
        <v>7</v>
      </c>
      <c r="C14" s="30">
        <v>140</v>
      </c>
      <c r="D14" s="26">
        <f>C2*C14/100</f>
        <v>560</v>
      </c>
      <c r="E14" s="27">
        <f>D14/F4*1000</f>
        <v>309.34441080937756</v>
      </c>
      <c r="F14" s="31">
        <v>310</v>
      </c>
      <c r="G14" s="29">
        <f>F14/1000*F4</f>
        <v>561.18679999999995</v>
      </c>
    </row>
    <row r="15" spans="1:7" ht="17" thickBot="1" x14ac:dyDescent="0.25">
      <c r="A15" s="23">
        <v>9</v>
      </c>
      <c r="B15" s="24">
        <v>8</v>
      </c>
      <c r="C15" s="30">
        <v>160</v>
      </c>
      <c r="D15" s="26">
        <f>C2*C15/100</f>
        <v>640</v>
      </c>
      <c r="E15" s="27">
        <f>D15/F4*1000</f>
        <v>353.53646949643149</v>
      </c>
      <c r="F15" s="28">
        <v>350</v>
      </c>
      <c r="G15" s="29">
        <f>F15/1000*F4</f>
        <v>633.59799999999996</v>
      </c>
    </row>
    <row r="16" spans="1:7" ht="17" thickBot="1" x14ac:dyDescent="0.25">
      <c r="A16" s="23">
        <v>10</v>
      </c>
      <c r="B16" s="24">
        <v>9</v>
      </c>
      <c r="C16" s="30">
        <v>180</v>
      </c>
      <c r="D16" s="26">
        <f>C2*C16/100</f>
        <v>720</v>
      </c>
      <c r="E16" s="27">
        <f>D16/F4*1000</f>
        <v>397.72852818348542</v>
      </c>
      <c r="F16" s="28">
        <v>400</v>
      </c>
      <c r="G16" s="29">
        <f>F16/1000*F4</f>
        <v>724.11200000000008</v>
      </c>
    </row>
    <row r="17" spans="1:7" ht="17" thickBot="1" x14ac:dyDescent="0.25">
      <c r="A17" s="23">
        <v>11</v>
      </c>
      <c r="B17" s="24">
        <v>10</v>
      </c>
      <c r="C17" s="30">
        <v>200</v>
      </c>
      <c r="D17" s="26">
        <f>C2*C17/100</f>
        <v>800</v>
      </c>
      <c r="E17" s="27">
        <f>D17/F4*1000</f>
        <v>441.92058687053935</v>
      </c>
      <c r="F17" s="28">
        <v>440</v>
      </c>
      <c r="G17" s="29">
        <f>F17/1000*F4</f>
        <v>796.52319999999997</v>
      </c>
    </row>
    <row r="18" spans="1:7" ht="17" thickBot="1" x14ac:dyDescent="0.25">
      <c r="A18" s="23">
        <v>12</v>
      </c>
      <c r="B18" s="24">
        <v>11</v>
      </c>
      <c r="C18" s="30">
        <v>220</v>
      </c>
      <c r="D18" s="26">
        <f>C2*C18/100</f>
        <v>880</v>
      </c>
      <c r="E18" s="27">
        <f>D18/F4*1000</f>
        <v>486.11264555759334</v>
      </c>
      <c r="F18" s="28">
        <v>490</v>
      </c>
      <c r="G18" s="29">
        <f>F18/1000*F4</f>
        <v>887.03719999999998</v>
      </c>
    </row>
    <row r="19" spans="1:7" ht="17" thickBot="1" x14ac:dyDescent="0.25">
      <c r="A19" s="23">
        <v>13</v>
      </c>
      <c r="B19" s="24">
        <v>12</v>
      </c>
      <c r="C19" s="30">
        <v>240</v>
      </c>
      <c r="D19" s="26">
        <f>C2*C19/100</f>
        <v>960</v>
      </c>
      <c r="E19" s="27">
        <f>D19/F4*1000</f>
        <v>530.30470424464727</v>
      </c>
      <c r="F19" s="28">
        <v>530</v>
      </c>
      <c r="G19" s="29">
        <f>F19/1000*F4</f>
        <v>959.44839999999999</v>
      </c>
    </row>
    <row r="20" spans="1:7" ht="17" thickBot="1" x14ac:dyDescent="0.25">
      <c r="A20" s="23">
        <v>14</v>
      </c>
      <c r="B20" s="24">
        <v>13</v>
      </c>
      <c r="C20" s="30">
        <v>250</v>
      </c>
      <c r="D20" s="26">
        <f>C2*C20/100</f>
        <v>1000</v>
      </c>
      <c r="E20" s="27">
        <f>D20/F4*1000</f>
        <v>552.40073358817426</v>
      </c>
      <c r="F20" s="28">
        <v>560</v>
      </c>
      <c r="G20" s="29">
        <f>F20/1000*F4</f>
        <v>1013.7568000000001</v>
      </c>
    </row>
    <row r="21" spans="1:7" ht="17" thickBot="1" x14ac:dyDescent="0.25">
      <c r="A21" s="32" t="s">
        <v>18</v>
      </c>
      <c r="B21" s="33"/>
      <c r="C21" s="33"/>
      <c r="D21" s="33"/>
      <c r="E21" s="33"/>
      <c r="F21" s="33"/>
      <c r="G21" s="34"/>
    </row>
    <row r="22" spans="1:7" ht="17" thickBot="1" x14ac:dyDescent="0.25">
      <c r="A22" s="35">
        <v>15</v>
      </c>
      <c r="B22" s="36">
        <v>14</v>
      </c>
      <c r="C22" s="30">
        <v>240</v>
      </c>
      <c r="D22" s="26">
        <f>C2*C22/100</f>
        <v>960</v>
      </c>
      <c r="E22" s="27">
        <f>D22/F4*1000</f>
        <v>530.30470424464727</v>
      </c>
      <c r="F22" s="28">
        <f>F19</f>
        <v>530</v>
      </c>
      <c r="G22" s="29">
        <f>F22/1000*F4</f>
        <v>959.44839999999999</v>
      </c>
    </row>
    <row r="23" spans="1:7" ht="17" thickBot="1" x14ac:dyDescent="0.25">
      <c r="A23" s="35">
        <v>16</v>
      </c>
      <c r="B23" s="36">
        <v>15</v>
      </c>
      <c r="C23" s="30">
        <v>220</v>
      </c>
      <c r="D23" s="26">
        <f>C2*C23/100</f>
        <v>880</v>
      </c>
      <c r="E23" s="27">
        <f>D23/F4*1000</f>
        <v>486.11264555759334</v>
      </c>
      <c r="F23" s="28">
        <f>F18</f>
        <v>490</v>
      </c>
      <c r="G23" s="29">
        <f>F23/1000*F4</f>
        <v>887.03719999999998</v>
      </c>
    </row>
    <row r="24" spans="1:7" ht="17" thickBot="1" x14ac:dyDescent="0.25">
      <c r="A24" s="35">
        <v>17</v>
      </c>
      <c r="B24" s="36">
        <v>16</v>
      </c>
      <c r="C24" s="30">
        <v>200</v>
      </c>
      <c r="D24" s="26">
        <f>C2*C24/100</f>
        <v>800</v>
      </c>
      <c r="E24" s="27">
        <f>D24/F4*1000</f>
        <v>441.92058687053935</v>
      </c>
      <c r="F24" s="28">
        <f>F17</f>
        <v>440</v>
      </c>
      <c r="G24" s="29">
        <f>F24/1000*F4</f>
        <v>796.52319999999997</v>
      </c>
    </row>
    <row r="25" spans="1:7" ht="17" thickBot="1" x14ac:dyDescent="0.25">
      <c r="A25" s="35">
        <v>18</v>
      </c>
      <c r="B25" s="36">
        <v>17</v>
      </c>
      <c r="C25" s="30">
        <v>180</v>
      </c>
      <c r="D25" s="26">
        <f>C2*C25/100</f>
        <v>720</v>
      </c>
      <c r="E25" s="27">
        <f>D25/F4*1000</f>
        <v>397.72852818348542</v>
      </c>
      <c r="F25" s="28">
        <f>F16</f>
        <v>400</v>
      </c>
      <c r="G25" s="29">
        <f>F25/1000*F4</f>
        <v>724.11200000000008</v>
      </c>
    </row>
    <row r="26" spans="1:7" ht="17" thickBot="1" x14ac:dyDescent="0.25">
      <c r="A26" s="35">
        <v>19</v>
      </c>
      <c r="B26" s="36">
        <v>18</v>
      </c>
      <c r="C26" s="30">
        <v>160</v>
      </c>
      <c r="D26" s="26">
        <f>C2*C26/100</f>
        <v>640</v>
      </c>
      <c r="E26" s="27">
        <f>D26/F4*1000</f>
        <v>353.53646949643149</v>
      </c>
      <c r="F26" s="28">
        <f>F15</f>
        <v>350</v>
      </c>
      <c r="G26" s="29">
        <f>F26/1000*F4</f>
        <v>633.59799999999996</v>
      </c>
    </row>
    <row r="27" spans="1:7" ht="17" thickBot="1" x14ac:dyDescent="0.25">
      <c r="A27" s="35">
        <v>20</v>
      </c>
      <c r="B27" s="36">
        <v>19</v>
      </c>
      <c r="C27" s="30">
        <v>140</v>
      </c>
      <c r="D27" s="26">
        <f>C2*C27/100</f>
        <v>560</v>
      </c>
      <c r="E27" s="27">
        <f>D27/F4*1000</f>
        <v>309.34441080937756</v>
      </c>
      <c r="F27" s="31">
        <f>F14</f>
        <v>310</v>
      </c>
      <c r="G27" s="29">
        <f>F27/1000*F4</f>
        <v>561.18679999999995</v>
      </c>
    </row>
    <row r="28" spans="1:7" ht="17" thickBot="1" x14ac:dyDescent="0.25">
      <c r="A28" s="35">
        <v>21</v>
      </c>
      <c r="B28" s="36">
        <v>20</v>
      </c>
      <c r="C28" s="30">
        <v>120</v>
      </c>
      <c r="D28" s="26">
        <f>C2*C28/100</f>
        <v>480</v>
      </c>
      <c r="E28" s="27">
        <f>D28/F4*1000</f>
        <v>265.15235212232363</v>
      </c>
      <c r="F28" s="31">
        <f>F13</f>
        <v>270</v>
      </c>
      <c r="G28" s="29">
        <f>F28/1000*F4</f>
        <v>488.7756</v>
      </c>
    </row>
    <row r="29" spans="1:7" ht="17" thickBot="1" x14ac:dyDescent="0.25">
      <c r="A29" s="35">
        <v>22</v>
      </c>
      <c r="B29" s="36">
        <v>21</v>
      </c>
      <c r="C29" s="30">
        <v>100</v>
      </c>
      <c r="D29" s="26">
        <f>C2*C29/100</f>
        <v>400</v>
      </c>
      <c r="E29" s="27">
        <f>D29/F4*1000</f>
        <v>220.96029343526968</v>
      </c>
      <c r="F29" s="31">
        <f>F12</f>
        <v>220</v>
      </c>
      <c r="G29" s="29">
        <f>F29/1000*F4</f>
        <v>398.26159999999999</v>
      </c>
    </row>
    <row r="30" spans="1:7" ht="17" thickBot="1" x14ac:dyDescent="0.25">
      <c r="A30" s="35">
        <v>23</v>
      </c>
      <c r="B30" s="36">
        <v>22</v>
      </c>
      <c r="C30" s="30">
        <v>80</v>
      </c>
      <c r="D30" s="26">
        <f>C2*C30/100</f>
        <v>320</v>
      </c>
      <c r="E30" s="27">
        <f>D30/F4*1000</f>
        <v>176.76823474821575</v>
      </c>
      <c r="F30" s="31">
        <f>F11</f>
        <v>180</v>
      </c>
      <c r="G30" s="29">
        <f>F30/1000*F4</f>
        <v>325.85039999999998</v>
      </c>
    </row>
    <row r="31" spans="1:7" ht="17" thickBot="1" x14ac:dyDescent="0.25">
      <c r="A31" s="35">
        <v>24</v>
      </c>
      <c r="B31" s="36">
        <v>23</v>
      </c>
      <c r="C31" s="30">
        <v>60</v>
      </c>
      <c r="D31" s="26">
        <f>C2*C31/100</f>
        <v>240</v>
      </c>
      <c r="E31" s="27">
        <f>D31/F4*1000</f>
        <v>132.57617606116182</v>
      </c>
      <c r="F31" s="31">
        <f>F10</f>
        <v>130</v>
      </c>
      <c r="G31" s="29">
        <f>F31/1000*F4</f>
        <v>235.3364</v>
      </c>
    </row>
    <row r="32" spans="1:7" ht="17" thickBot="1" x14ac:dyDescent="0.25">
      <c r="A32" s="35">
        <v>25</v>
      </c>
      <c r="B32" s="36">
        <v>24</v>
      </c>
      <c r="C32" s="30">
        <v>40</v>
      </c>
      <c r="D32" s="26">
        <f>C2*C32/100</f>
        <v>160</v>
      </c>
      <c r="E32" s="27">
        <f>D32/F4*1000</f>
        <v>88.384117374107873</v>
      </c>
      <c r="F32" s="31">
        <f>F9</f>
        <v>90</v>
      </c>
      <c r="G32" s="29">
        <f>F32/1000*F4</f>
        <v>162.92519999999999</v>
      </c>
    </row>
    <row r="33" spans="1:7" ht="17" thickBot="1" x14ac:dyDescent="0.25">
      <c r="A33" s="35">
        <v>26</v>
      </c>
      <c r="B33" s="36">
        <v>25</v>
      </c>
      <c r="C33" s="30">
        <v>20</v>
      </c>
      <c r="D33" s="26">
        <f>C2*C33/100</f>
        <v>80</v>
      </c>
      <c r="E33" s="27">
        <f>D33/F4*1000</f>
        <v>44.192058687053937</v>
      </c>
      <c r="F33" s="31">
        <f>F8</f>
        <v>40</v>
      </c>
      <c r="G33" s="29">
        <f>F33/1000*F4</f>
        <v>72.411199999999994</v>
      </c>
    </row>
    <row r="34" spans="1:7" ht="17" thickBot="1" x14ac:dyDescent="0.25">
      <c r="A34" s="35">
        <v>27</v>
      </c>
      <c r="B34" s="36">
        <v>26</v>
      </c>
      <c r="C34" s="30">
        <v>0</v>
      </c>
      <c r="D34" s="26">
        <f>C2*C34/100</f>
        <v>0</v>
      </c>
      <c r="E34" s="27">
        <f>D34/F4*1000</f>
        <v>0</v>
      </c>
      <c r="F34" s="31">
        <v>0</v>
      </c>
      <c r="G34" s="29">
        <f>F34/1000*F4</f>
        <v>0</v>
      </c>
    </row>
  </sheetData>
  <mergeCells count="6">
    <mergeCell ref="A1:G1"/>
    <mergeCell ref="A2:B2"/>
    <mergeCell ref="A3:B3"/>
    <mergeCell ref="A4:B4"/>
    <mergeCell ref="A6:G6"/>
    <mergeCell ref="A21:G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Saif Kazi</dc:creator>
  <cp:lastModifiedBy>Saif Kazi</cp:lastModifiedBy>
  <dcterms:created xsi:type="dcterms:W3CDTF">2026-09-15T12:28:33Z</dcterms:created>
  <dcterms:modified xsi:type="dcterms:W3CDTF">2026-09-15T12:29:50Z</dcterms:modified>
</cp:coreProperties>
</file>