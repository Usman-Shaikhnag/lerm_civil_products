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ss\NABL KNACK\Pile Load\Dharavi\Technical\"/>
    </mc:Choice>
  </mc:AlternateContent>
  <xr:revisionPtr revIDLastSave="0" documentId="13_ncr:1_{6577DBD3-405F-4902-96BB-8D0E85A092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Sheet1!$A$1:$K$80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1" i="1" l="1"/>
  <c r="I62" i="1"/>
  <c r="I63" i="1"/>
  <c r="I56" i="1"/>
  <c r="I57" i="1"/>
  <c r="I58" i="1"/>
  <c r="I51" i="1"/>
  <c r="I52" i="1"/>
  <c r="I53" i="1"/>
  <c r="I49" i="1"/>
  <c r="I46" i="1"/>
  <c r="I47" i="1"/>
  <c r="I48" i="1"/>
  <c r="I41" i="1"/>
  <c r="I42" i="1"/>
  <c r="I43" i="1"/>
  <c r="I38" i="1"/>
  <c r="I36" i="1"/>
  <c r="I37" i="1"/>
  <c r="I28" i="1"/>
  <c r="I23" i="1"/>
  <c r="I18" i="1"/>
  <c r="O47" i="1"/>
  <c r="D40" i="1"/>
  <c r="O28" i="1" s="1"/>
  <c r="D87" i="1"/>
  <c r="O37" i="1" s="1"/>
  <c r="D92" i="1"/>
  <c r="O38" i="1" s="1"/>
  <c r="D97" i="1"/>
  <c r="O39" i="1" s="1"/>
  <c r="D102" i="1"/>
  <c r="O40" i="1" s="1"/>
  <c r="D107" i="1"/>
  <c r="O41" i="1" s="1"/>
  <c r="D112" i="1"/>
  <c r="O42" i="1" s="1"/>
  <c r="D117" i="1"/>
  <c r="O43" i="1" s="1"/>
  <c r="D122" i="1"/>
  <c r="O44" i="1" s="1"/>
  <c r="D127" i="1"/>
  <c r="O45" i="1" s="1"/>
  <c r="D132" i="1"/>
  <c r="D82" i="1"/>
  <c r="O36" i="1" s="1"/>
  <c r="D75" i="1"/>
  <c r="O35" i="1" s="1"/>
  <c r="D60" i="1"/>
  <c r="O34" i="1" s="1"/>
  <c r="D55" i="1"/>
  <c r="D50" i="1"/>
  <c r="O30" i="1" s="1"/>
  <c r="D45" i="1"/>
  <c r="O29" i="1" s="1"/>
  <c r="D35" i="1"/>
  <c r="O25" i="1" s="1"/>
  <c r="D30" i="1"/>
  <c r="D25" i="1"/>
  <c r="D20" i="1"/>
  <c r="D15" i="1"/>
  <c r="O19" i="1" s="1"/>
  <c r="D10" i="1"/>
  <c r="O18" i="1" s="1"/>
  <c r="B4" i="1"/>
  <c r="O50" i="1"/>
  <c r="O51" i="1"/>
  <c r="O33" i="1"/>
  <c r="O49" i="1"/>
  <c r="O48" i="1"/>
  <c r="I54" i="1"/>
  <c r="I29" i="1"/>
  <c r="I19" i="1"/>
  <c r="I151" i="1"/>
  <c r="H147" i="1"/>
  <c r="G147" i="1"/>
  <c r="F147" i="1"/>
  <c r="E147" i="1"/>
  <c r="I146" i="1"/>
  <c r="H142" i="1"/>
  <c r="G142" i="1"/>
  <c r="F142" i="1"/>
  <c r="E142" i="1"/>
  <c r="I141" i="1"/>
  <c r="H137" i="1"/>
  <c r="G137" i="1"/>
  <c r="F137" i="1"/>
  <c r="E137" i="1"/>
  <c r="I136" i="1"/>
  <c r="H132" i="1"/>
  <c r="G132" i="1"/>
  <c r="F132" i="1"/>
  <c r="E132" i="1"/>
  <c r="I131" i="1"/>
  <c r="H127" i="1"/>
  <c r="G127" i="1"/>
  <c r="F127" i="1"/>
  <c r="E127" i="1"/>
  <c r="I126" i="1"/>
  <c r="H122" i="1"/>
  <c r="G122" i="1"/>
  <c r="F122" i="1"/>
  <c r="E122" i="1"/>
  <c r="D147" i="1"/>
  <c r="D65" i="1"/>
  <c r="D70" i="1"/>
  <c r="E112" i="1"/>
  <c r="F112" i="1"/>
  <c r="G112" i="1"/>
  <c r="H112" i="1"/>
  <c r="I116" i="1"/>
  <c r="E117" i="1"/>
  <c r="F117" i="1"/>
  <c r="G117" i="1"/>
  <c r="H117" i="1"/>
  <c r="I121" i="1"/>
  <c r="E107" i="1"/>
  <c r="F107" i="1"/>
  <c r="G107" i="1"/>
  <c r="H107" i="1"/>
  <c r="I111" i="1"/>
  <c r="E70" i="1"/>
  <c r="F70" i="1"/>
  <c r="G70" i="1"/>
  <c r="H70" i="1"/>
  <c r="I74" i="1"/>
  <c r="E40" i="1"/>
  <c r="F40" i="1"/>
  <c r="G40" i="1"/>
  <c r="H40" i="1"/>
  <c r="I44" i="1"/>
  <c r="E45" i="1"/>
  <c r="F45" i="1"/>
  <c r="G45" i="1"/>
  <c r="H45" i="1"/>
  <c r="E50" i="1"/>
  <c r="F50" i="1"/>
  <c r="G50" i="1"/>
  <c r="H50" i="1"/>
  <c r="E55" i="1"/>
  <c r="F55" i="1"/>
  <c r="G55" i="1"/>
  <c r="H55" i="1"/>
  <c r="I59" i="1"/>
  <c r="E60" i="1"/>
  <c r="F60" i="1"/>
  <c r="G60" i="1"/>
  <c r="H60" i="1"/>
  <c r="I64" i="1"/>
  <c r="E65" i="1"/>
  <c r="F65" i="1"/>
  <c r="G65" i="1"/>
  <c r="H65" i="1"/>
  <c r="I69" i="1"/>
  <c r="H102" i="1"/>
  <c r="I13" i="1"/>
  <c r="I10" i="1"/>
  <c r="I147" i="1" l="1"/>
  <c r="J147" i="1" s="1"/>
  <c r="I142" i="1"/>
  <c r="J142" i="1" s="1"/>
  <c r="I137" i="1"/>
  <c r="J137" i="1" s="1"/>
  <c r="I132" i="1"/>
  <c r="J132" i="1" s="1"/>
  <c r="I127" i="1"/>
  <c r="J127" i="1" s="1"/>
  <c r="I122" i="1"/>
  <c r="J122" i="1" s="1"/>
  <c r="I117" i="1"/>
  <c r="J117" i="1" s="1"/>
  <c r="I112" i="1"/>
  <c r="J112" i="1" s="1"/>
  <c r="I107" i="1"/>
  <c r="J107" i="1" s="1"/>
  <c r="I70" i="1"/>
  <c r="J70" i="1" s="1"/>
  <c r="I55" i="1"/>
  <c r="J55" i="1" s="1"/>
  <c r="I60" i="1"/>
  <c r="J60" i="1" s="1"/>
  <c r="I65" i="1"/>
  <c r="J65" i="1" s="1"/>
  <c r="I40" i="1"/>
  <c r="J40" i="1" s="1"/>
  <c r="I50" i="1"/>
  <c r="J50" i="1" s="1"/>
  <c r="I45" i="1"/>
  <c r="J45" i="1" s="1"/>
  <c r="G102" i="1"/>
  <c r="F102" i="1"/>
  <c r="E102" i="1"/>
  <c r="H97" i="1"/>
  <c r="G97" i="1"/>
  <c r="F97" i="1"/>
  <c r="E97" i="1"/>
  <c r="H92" i="1"/>
  <c r="G92" i="1"/>
  <c r="F92" i="1"/>
  <c r="E92" i="1"/>
  <c r="H87" i="1"/>
  <c r="G87" i="1"/>
  <c r="F87" i="1"/>
  <c r="E87" i="1"/>
  <c r="H82" i="1"/>
  <c r="G82" i="1"/>
  <c r="F82" i="1"/>
  <c r="E82" i="1"/>
  <c r="I75" i="1"/>
  <c r="J75" i="1" s="1"/>
  <c r="H35" i="1"/>
  <c r="G35" i="1"/>
  <c r="F35" i="1"/>
  <c r="E35" i="1"/>
  <c r="H30" i="1"/>
  <c r="G30" i="1"/>
  <c r="F30" i="1"/>
  <c r="E30" i="1"/>
  <c r="H25" i="1"/>
  <c r="G25" i="1"/>
  <c r="F25" i="1"/>
  <c r="E25" i="1"/>
  <c r="H20" i="1"/>
  <c r="G20" i="1"/>
  <c r="F20" i="1"/>
  <c r="E20" i="1"/>
  <c r="H15" i="1"/>
  <c r="G15" i="1"/>
  <c r="F15" i="1"/>
  <c r="E15" i="1"/>
  <c r="O24" i="1"/>
  <c r="O23" i="1"/>
  <c r="O20" i="1"/>
  <c r="I106" i="1"/>
  <c r="I105" i="1"/>
  <c r="I104" i="1"/>
  <c r="I103" i="1"/>
  <c r="I101" i="1"/>
  <c r="I100" i="1"/>
  <c r="I99" i="1"/>
  <c r="I98" i="1"/>
  <c r="I96" i="1"/>
  <c r="I95" i="1"/>
  <c r="I94" i="1"/>
  <c r="I93" i="1"/>
  <c r="I91" i="1"/>
  <c r="I88" i="1"/>
  <c r="I90" i="1"/>
  <c r="I89" i="1"/>
  <c r="I86" i="1"/>
  <c r="I85" i="1"/>
  <c r="I84" i="1"/>
  <c r="I83" i="1"/>
  <c r="I39" i="1"/>
  <c r="I34" i="1"/>
  <c r="I33" i="1"/>
  <c r="I32" i="1"/>
  <c r="I31" i="1"/>
  <c r="I27" i="1"/>
  <c r="I26" i="1"/>
  <c r="I24" i="1"/>
  <c r="I22" i="1"/>
  <c r="I21" i="1"/>
  <c r="I17" i="1"/>
  <c r="I16" i="1"/>
  <c r="I11" i="1"/>
  <c r="I12" i="1"/>
  <c r="I14" i="1"/>
  <c r="J10" i="1" s="1"/>
  <c r="K10" i="1" s="1"/>
  <c r="P18" i="1" s="1"/>
  <c r="I92" i="1" l="1"/>
  <c r="J92" i="1" s="1"/>
  <c r="I97" i="1"/>
  <c r="J97" i="1" s="1"/>
  <c r="I87" i="1"/>
  <c r="J87" i="1" s="1"/>
  <c r="I15" i="1"/>
  <c r="J15" i="1" s="1"/>
  <c r="K15" i="1" s="1"/>
  <c r="P19" i="1" s="1"/>
  <c r="I35" i="1"/>
  <c r="J35" i="1" s="1"/>
  <c r="I82" i="1"/>
  <c r="J82" i="1" s="1"/>
  <c r="I30" i="1"/>
  <c r="J30" i="1" s="1"/>
  <c r="I25" i="1"/>
  <c r="J25" i="1" s="1"/>
  <c r="I20" i="1"/>
  <c r="J20" i="1" s="1"/>
  <c r="I102" i="1"/>
  <c r="J102" i="1" s="1"/>
  <c r="K20" i="1" l="1"/>
  <c r="K25" i="1" l="1"/>
  <c r="P20" i="1"/>
  <c r="K30" i="1" l="1"/>
  <c r="P23" i="1"/>
  <c r="K35" i="1" l="1"/>
  <c r="P24" i="1"/>
  <c r="K40" i="1" l="1"/>
  <c r="P25" i="1"/>
  <c r="K45" i="1" l="1"/>
  <c r="P28" i="1"/>
  <c r="K50" i="1" l="1"/>
  <c r="P29" i="1"/>
  <c r="K55" i="1" l="1"/>
  <c r="P30" i="1"/>
  <c r="K60" i="1" l="1"/>
  <c r="P33" i="1"/>
  <c r="K65" i="1" l="1"/>
  <c r="P34" i="1"/>
  <c r="K75" i="1"/>
  <c r="P35" i="1" s="1"/>
  <c r="K82" i="1" l="1"/>
  <c r="P36" i="1" s="1"/>
  <c r="K70" i="1"/>
  <c r="K87" i="1" l="1"/>
  <c r="P37" i="1" s="1"/>
  <c r="K92" i="1" l="1"/>
  <c r="P38" i="1" s="1"/>
  <c r="K97" i="1" l="1"/>
  <c r="P39" i="1" s="1"/>
  <c r="K102" i="1" l="1"/>
  <c r="P40" i="1" l="1"/>
  <c r="K107" i="1"/>
  <c r="P41" i="1" s="1"/>
  <c r="K112" i="1" l="1"/>
  <c r="P42" i="1" s="1"/>
  <c r="K117" i="1" l="1"/>
  <c r="P43" i="1" s="1"/>
  <c r="K122" i="1" l="1"/>
  <c r="P44" i="1" s="1"/>
  <c r="K127" i="1" l="1"/>
  <c r="P47" i="1" l="1"/>
  <c r="P45" i="1"/>
  <c r="K132" i="1"/>
  <c r="P48" i="1" s="1"/>
  <c r="P46" i="1" l="1"/>
  <c r="K137" i="1"/>
  <c r="K142" i="1" l="1"/>
  <c r="P49" i="1"/>
  <c r="P50" i="1" l="1"/>
  <c r="K147" i="1"/>
</calcChain>
</file>

<file path=xl/sharedStrings.xml><?xml version="1.0" encoding="utf-8"?>
<sst xmlns="http://schemas.openxmlformats.org/spreadsheetml/2006/main" count="37" uniqueCount="34">
  <si>
    <t>Sr.No.</t>
  </si>
  <si>
    <t>Cummulative Dial Reading</t>
  </si>
  <si>
    <t>A</t>
  </si>
  <si>
    <t>B</t>
  </si>
  <si>
    <t>C</t>
  </si>
  <si>
    <t>D</t>
  </si>
  <si>
    <t>Reading Interval ( Min)</t>
  </si>
  <si>
    <t>Pressure Gauge Reading (Kg/cm2)</t>
  </si>
  <si>
    <t>Load(MT)</t>
  </si>
  <si>
    <t>Dial Gauge Reading (mm)</t>
  </si>
  <si>
    <t>Average Dial Reading (mm)</t>
  </si>
  <si>
    <t>Pile Dial (mm):</t>
  </si>
  <si>
    <t>Test Start Date:</t>
  </si>
  <si>
    <t>Location :</t>
  </si>
  <si>
    <t>Effective Area of Jack:</t>
  </si>
  <si>
    <t>Dial Gauge Least Count:</t>
  </si>
  <si>
    <t>Total Settelement:</t>
  </si>
  <si>
    <t>Net Settelement:</t>
  </si>
  <si>
    <t>0.01 mm</t>
  </si>
  <si>
    <t>End Date:</t>
  </si>
  <si>
    <t>Cumulative average Reading (mm)</t>
  </si>
  <si>
    <t>Applied Load on  Plate (MT)</t>
  </si>
  <si>
    <t>Uplift (mm)</t>
  </si>
  <si>
    <t>Project Name:  418 MLD WASTE WATER TREATMENT FACILITIES AT DHARAVI.</t>
  </si>
  <si>
    <t>LOADING ( 04-09-2026)</t>
  </si>
  <si>
    <t xml:space="preserve">UNLOADING (06-09-2026) </t>
  </si>
  <si>
    <t>8.32 mm</t>
  </si>
  <si>
    <t>Tested By</t>
  </si>
  <si>
    <t>Client Witness</t>
  </si>
  <si>
    <t>PMC Witness</t>
  </si>
  <si>
    <t>7.04 mm</t>
  </si>
  <si>
    <t>Gas Building Test Pile-Static Load Test</t>
  </si>
  <si>
    <t>Maximum Test Load (MT):</t>
  </si>
  <si>
    <t>Design Load(MT):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</si>
</sst>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/>
    <xf numFmtId="2" fontId="1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1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1" fontId="5" fillId="0" borderId="9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 vertical="center"/>
    </xf>
    <xf numFmtId="1" fontId="5" fillId="0" borderId="26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1" fontId="5" fillId="0" borderId="13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1" fontId="5" fillId="0" borderId="29" xfId="0" applyNumberFormat="1" applyFont="1" applyBorder="1" applyAlignment="1">
      <alignment horizontal="center" vertical="center"/>
    </xf>
    <xf numFmtId="20" fontId="5" fillId="0" borderId="30" xfId="0" applyNumberFormat="1" applyFont="1" applyBorder="1" applyAlignment="1">
      <alignment horizontal="center" vertical="center"/>
    </xf>
    <xf numFmtId="2" fontId="5" fillId="0" borderId="31" xfId="0" applyNumberFormat="1" applyFont="1" applyBorder="1" applyAlignment="1">
      <alignment horizontal="center" vertical="center"/>
    </xf>
    <xf numFmtId="2" fontId="5" fillId="0" borderId="32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5" fillId="0" borderId="28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7" fillId="0" borderId="14" xfId="0" applyNumberFormat="1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1" fontId="5" fillId="0" borderId="35" xfId="0" applyNumberFormat="1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5" fillId="0" borderId="4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2" fontId="5" fillId="0" borderId="23" xfId="0" applyNumberFormat="1" applyFont="1" applyBorder="1" applyAlignment="1">
      <alignment horizontal="center" vertical="center"/>
    </xf>
    <xf numFmtId="2" fontId="5" fillId="0" borderId="21" xfId="0" applyNumberFormat="1" applyFont="1" applyBorder="1" applyAlignment="1">
      <alignment horizontal="center" vertical="center"/>
    </xf>
    <xf numFmtId="2" fontId="5" fillId="0" borderId="2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IN"/>
              <a:t> LOAD  Vs</a:t>
            </a:r>
            <a:r>
              <a:rPr lang="en-IN" baseline="0"/>
              <a:t> SETTELEMENT</a:t>
            </a:r>
            <a:r>
              <a:rPr lang="en-IN"/>
              <a:t>  CURVE</a:t>
            </a:r>
          </a:p>
        </c:rich>
      </c:tx>
      <c:layout>
        <c:manualLayout>
          <c:xMode val="edge"/>
          <c:yMode val="edge"/>
          <c:x val="0.28865979381443385"/>
          <c:y val="1.60771795417464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6419082901766"/>
          <c:y val="0.15993742047916279"/>
          <c:w val="0.77319587628866282"/>
          <c:h val="0.70096463022508204"/>
        </c:manualLayout>
      </c:layout>
      <c:scatterChart>
        <c:scatterStyle val="smoothMarker"/>
        <c:varyColors val="0"/>
        <c:ser>
          <c:idx val="0"/>
          <c:order val="0"/>
          <c:xVal>
            <c:numRef>
              <c:f>Sheet1!$O$15:$O$46</c:f>
              <c:numCache>
                <c:formatCode>General</c:formatCode>
                <c:ptCount val="32"/>
                <c:pt idx="0" formatCode="0.00">
                  <c:v>0</c:v>
                </c:pt>
                <c:pt idx="3" formatCode="0.00">
                  <c:v>30.028500000000001</c:v>
                </c:pt>
                <c:pt idx="4" formatCode="0.00">
                  <c:v>60.057000000000002</c:v>
                </c:pt>
                <c:pt idx="5" formatCode="0.00">
                  <c:v>90.085499999999996</c:v>
                </c:pt>
                <c:pt idx="8" formatCode="0.00">
                  <c:v>120.114</c:v>
                </c:pt>
                <c:pt idx="9" formatCode="0.00">
                  <c:v>150.14250000000001</c:v>
                </c:pt>
                <c:pt idx="10" formatCode="0.00">
                  <c:v>180.17099999999999</c:v>
                </c:pt>
                <c:pt idx="13" formatCode="0.00">
                  <c:v>210.1995</c:v>
                </c:pt>
                <c:pt idx="14" formatCode="0.00">
                  <c:v>240.22800000000001</c:v>
                </c:pt>
                <c:pt idx="15" formatCode="0.00">
                  <c:v>270.25650000000002</c:v>
                </c:pt>
                <c:pt idx="18" formatCode="0.00">
                  <c:v>300.28500000000003</c:v>
                </c:pt>
                <c:pt idx="19" formatCode="0.00">
                  <c:v>320.30399999999997</c:v>
                </c:pt>
                <c:pt idx="20" formatCode="0.00">
                  <c:v>320.30399999999997</c:v>
                </c:pt>
                <c:pt idx="21" formatCode="0.00">
                  <c:v>300.28500000000003</c:v>
                </c:pt>
                <c:pt idx="22" formatCode="0.00">
                  <c:v>270.25650000000002</c:v>
                </c:pt>
                <c:pt idx="23" formatCode="0.00">
                  <c:v>240.22800000000001</c:v>
                </c:pt>
                <c:pt idx="24" formatCode="0.00">
                  <c:v>210.1995</c:v>
                </c:pt>
                <c:pt idx="25" formatCode="0.00">
                  <c:v>180.17099999999999</c:v>
                </c:pt>
                <c:pt idx="26" formatCode="0.00">
                  <c:v>150.14250000000001</c:v>
                </c:pt>
                <c:pt idx="27" formatCode="0.00">
                  <c:v>120.114</c:v>
                </c:pt>
                <c:pt idx="28" formatCode="0.00">
                  <c:v>90.085499999999996</c:v>
                </c:pt>
                <c:pt idx="29" formatCode="0.00">
                  <c:v>60.057000000000002</c:v>
                </c:pt>
                <c:pt idx="30" formatCode="0.00">
                  <c:v>30.028500000000001</c:v>
                </c:pt>
                <c:pt idx="31" formatCode="0.00">
                  <c:v>0</c:v>
                </c:pt>
              </c:numCache>
            </c:numRef>
          </c:xVal>
          <c:yVal>
            <c:numRef>
              <c:f>Sheet1!$P$15:$P$46</c:f>
              <c:numCache>
                <c:formatCode>General</c:formatCode>
                <c:ptCount val="32"/>
                <c:pt idx="0" formatCode="0.00">
                  <c:v>0</c:v>
                </c:pt>
                <c:pt idx="3" formatCode="0.00">
                  <c:v>0.53749999999999998</c:v>
                </c:pt>
                <c:pt idx="4" formatCode="0.00">
                  <c:v>1.0349999999999999</c:v>
                </c:pt>
                <c:pt idx="5" formatCode="0.00">
                  <c:v>1.7575000000000001</c:v>
                </c:pt>
                <c:pt idx="8" formatCode="0.00">
                  <c:v>2.2300000000000004</c:v>
                </c:pt>
                <c:pt idx="9" formatCode="0.00">
                  <c:v>2.8174999999999999</c:v>
                </c:pt>
                <c:pt idx="10" formatCode="0.00">
                  <c:v>3.4725000000000001</c:v>
                </c:pt>
                <c:pt idx="13" formatCode="0.00">
                  <c:v>4.7374999999999998</c:v>
                </c:pt>
                <c:pt idx="14" formatCode="0.00">
                  <c:v>5.4175000000000004</c:v>
                </c:pt>
                <c:pt idx="15" formatCode="0.00">
                  <c:v>6.2325000000000008</c:v>
                </c:pt>
                <c:pt idx="18" formatCode="0.00">
                  <c:v>7.1325000000000003</c:v>
                </c:pt>
                <c:pt idx="19" formatCode="0.00">
                  <c:v>8.1475000000000009</c:v>
                </c:pt>
                <c:pt idx="20" formatCode="0.00">
                  <c:v>8.3224999999999998</c:v>
                </c:pt>
                <c:pt idx="21" formatCode="0.00">
                  <c:v>8.2950000000000017</c:v>
                </c:pt>
                <c:pt idx="22" formatCode="0.00">
                  <c:v>8.2675000000000001</c:v>
                </c:pt>
                <c:pt idx="23" formatCode="0.00">
                  <c:v>8.2449999999999992</c:v>
                </c:pt>
                <c:pt idx="24" formatCode="0.00">
                  <c:v>8.2225000000000001</c:v>
                </c:pt>
                <c:pt idx="25" formatCode="0.00">
                  <c:v>8.17</c:v>
                </c:pt>
                <c:pt idx="26" formatCode="0.00">
                  <c:v>8.1074999999999999</c:v>
                </c:pt>
                <c:pt idx="27" formatCode="0.00">
                  <c:v>8.0225000000000009</c:v>
                </c:pt>
                <c:pt idx="28" formatCode="0.00">
                  <c:v>7.9</c:v>
                </c:pt>
                <c:pt idx="29" formatCode="0.00">
                  <c:v>7.7200000000000006</c:v>
                </c:pt>
                <c:pt idx="30" formatCode="0.00">
                  <c:v>7.6174999999999997</c:v>
                </c:pt>
                <c:pt idx="31" formatCode="0.00">
                  <c:v>7.0399999999999991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13-4400-9817-56CBBDEBA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41408"/>
        <c:axId val="214065536"/>
      </c:scatterChart>
      <c:valAx>
        <c:axId val="193841408"/>
        <c:scaling>
          <c:orientation val="minMax"/>
          <c:max val="330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975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Load in  MT</a:t>
                </a:r>
                <a:endParaRPr lang="en-IN" sz="975" b="0" i="0" u="none" strike="noStrike" baseline="3000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0.47009313292622334"/>
              <c:y val="0.87218497117290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65536"/>
        <c:crossesAt val="0"/>
        <c:crossBetween val="midCat"/>
        <c:majorUnit val="30"/>
      </c:valAx>
      <c:valAx>
        <c:axId val="214065536"/>
        <c:scaling>
          <c:orientation val="maxMin"/>
          <c:max val="1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IN"/>
                  <a:t>Settelement, mm</a:t>
                </a:r>
              </a:p>
            </c:rich>
          </c:tx>
          <c:layout>
            <c:manualLayout>
              <c:xMode val="edge"/>
              <c:yMode val="edge"/>
              <c:x val="4.5832508049895922E-2"/>
              <c:y val="0.3717993190040441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841408"/>
        <c:crossesAt val="0"/>
        <c:crossBetween val="midCat"/>
        <c:majorUnit val="1"/>
        <c:minorUnit val="0.1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44" r="0.75000000000000144" t="1" header="0.5" footer="0.5"/>
    <c:pageSetup orientation="landscape" horizontalDpi="120" verticalDpi="14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IN"/>
              <a:t> LOAD  SETTLEMENT  CURVE</a:t>
            </a:r>
          </a:p>
        </c:rich>
      </c:tx>
      <c:layout>
        <c:manualLayout>
          <c:xMode val="edge"/>
          <c:yMode val="edge"/>
          <c:x val="0.26141094241672824"/>
          <c:y val="2.24360993337371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00414937759378"/>
          <c:y val="0.12179525301499011"/>
          <c:w val="0.80912863070539465"/>
          <c:h val="0.72115610337822822"/>
        </c:manualLayout>
      </c:layout>
      <c:scatterChart>
        <c:scatterStyle val="lineMarker"/>
        <c:varyColors val="0"/>
        <c:ser>
          <c:idx val="0"/>
          <c:order val="0"/>
          <c:tx>
            <c:v>Load Vs Uplift</c:v>
          </c:tx>
          <c:xVal>
            <c:numRef>
              <c:f>Sheet1!$P$15:$P$38</c:f>
              <c:numCache>
                <c:formatCode>General</c:formatCode>
                <c:ptCount val="24"/>
                <c:pt idx="0" formatCode="0.00">
                  <c:v>0</c:v>
                </c:pt>
                <c:pt idx="3" formatCode="0.00">
                  <c:v>0.53749999999999998</c:v>
                </c:pt>
                <c:pt idx="4" formatCode="0.00">
                  <c:v>1.0349999999999999</c:v>
                </c:pt>
                <c:pt idx="5" formatCode="0.00">
                  <c:v>1.7575000000000001</c:v>
                </c:pt>
                <c:pt idx="8" formatCode="0.00">
                  <c:v>2.2300000000000004</c:v>
                </c:pt>
                <c:pt idx="9" formatCode="0.00">
                  <c:v>2.8174999999999999</c:v>
                </c:pt>
                <c:pt idx="10" formatCode="0.00">
                  <c:v>3.4725000000000001</c:v>
                </c:pt>
                <c:pt idx="13" formatCode="0.00">
                  <c:v>4.7374999999999998</c:v>
                </c:pt>
                <c:pt idx="14" formatCode="0.00">
                  <c:v>5.4175000000000004</c:v>
                </c:pt>
                <c:pt idx="15" formatCode="0.00">
                  <c:v>6.2325000000000008</c:v>
                </c:pt>
                <c:pt idx="18" formatCode="0.00">
                  <c:v>7.1325000000000003</c:v>
                </c:pt>
                <c:pt idx="19" formatCode="0.00">
                  <c:v>8.1475000000000009</c:v>
                </c:pt>
                <c:pt idx="20" formatCode="0.00">
                  <c:v>8.3224999999999998</c:v>
                </c:pt>
                <c:pt idx="21" formatCode="0.00">
                  <c:v>8.2950000000000017</c:v>
                </c:pt>
                <c:pt idx="22" formatCode="0.00">
                  <c:v>8.2675000000000001</c:v>
                </c:pt>
                <c:pt idx="23" formatCode="0.00">
                  <c:v>8.2449999999999992</c:v>
                </c:pt>
              </c:numCache>
            </c:numRef>
          </c:xVal>
          <c:yVal>
            <c:numRef>
              <c:f>Sheet1!$O$15:$O$38</c:f>
              <c:numCache>
                <c:formatCode>General</c:formatCode>
                <c:ptCount val="24"/>
                <c:pt idx="0" formatCode="0.00">
                  <c:v>0</c:v>
                </c:pt>
                <c:pt idx="3" formatCode="0.00">
                  <c:v>30.028500000000001</c:v>
                </c:pt>
                <c:pt idx="4" formatCode="0.00">
                  <c:v>60.057000000000002</c:v>
                </c:pt>
                <c:pt idx="5" formatCode="0.00">
                  <c:v>90.085499999999996</c:v>
                </c:pt>
                <c:pt idx="8" formatCode="0.00">
                  <c:v>120.114</c:v>
                </c:pt>
                <c:pt idx="9" formatCode="0.00">
                  <c:v>150.14250000000001</c:v>
                </c:pt>
                <c:pt idx="10" formatCode="0.00">
                  <c:v>180.17099999999999</c:v>
                </c:pt>
                <c:pt idx="13" formatCode="0.00">
                  <c:v>210.1995</c:v>
                </c:pt>
                <c:pt idx="14" formatCode="0.00">
                  <c:v>240.22800000000001</c:v>
                </c:pt>
                <c:pt idx="15" formatCode="0.00">
                  <c:v>270.25650000000002</c:v>
                </c:pt>
                <c:pt idx="18" formatCode="0.00">
                  <c:v>300.28500000000003</c:v>
                </c:pt>
                <c:pt idx="19" formatCode="0.00">
                  <c:v>320.30399999999997</c:v>
                </c:pt>
                <c:pt idx="20" formatCode="0.00">
                  <c:v>320.30399999999997</c:v>
                </c:pt>
                <c:pt idx="21" formatCode="0.00">
                  <c:v>300.28500000000003</c:v>
                </c:pt>
                <c:pt idx="22" formatCode="0.00">
                  <c:v>270.25650000000002</c:v>
                </c:pt>
                <c:pt idx="23" formatCode="0.00">
                  <c:v>240.22800000000001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00-497E-889A-B9320EAFC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26816"/>
        <c:axId val="193828736"/>
      </c:scatterChart>
      <c:valAx>
        <c:axId val="193826816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IN"/>
                  <a:t>Uplift in mm</a:t>
                </a:r>
              </a:p>
            </c:rich>
          </c:tx>
          <c:layout>
            <c:manualLayout>
              <c:xMode val="edge"/>
              <c:yMode val="edge"/>
              <c:x val="0.42950798277287294"/>
              <c:y val="0.908305269533616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828736"/>
        <c:crossesAt val="0.1"/>
        <c:crossBetween val="midCat"/>
      </c:valAx>
      <c:valAx>
        <c:axId val="193828736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Load in MT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IN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2.5811690665738605E-3"/>
              <c:y val="0.299725822733696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826816"/>
        <c:crossesAt val="0.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44" r="0.75000000000000144" t="1" header="0.5" footer="0.5"/>
    <c:pageSetup paperSize="9" orientation="landscape" horizontalDpi="120" verticalDpi="14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171449</xdr:colOff>
      <xdr:row>7</xdr:row>
      <xdr:rowOff>178135</xdr:rowOff>
    </xdr:from>
    <xdr:to>
      <xdr:col>30</xdr:col>
      <xdr:colOff>533400</xdr:colOff>
      <xdr:row>42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358B88-5A98-49C5-ACD3-7638F8838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165293</xdr:colOff>
      <xdr:row>0</xdr:row>
      <xdr:rowOff>103909</xdr:rowOff>
    </xdr:from>
    <xdr:to>
      <xdr:col>37</xdr:col>
      <xdr:colOff>432763</xdr:colOff>
      <xdr:row>19</xdr:row>
      <xdr:rowOff>156827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8C8933-1C9C-419B-8383-B5C3E04F2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57"/>
  <sheetViews>
    <sheetView tabSelected="1" view="pageBreakPreview" topLeftCell="A35" zoomScale="85" zoomScaleNormal="85" zoomScaleSheetLayoutView="85" workbookViewId="0">
      <selection sqref="A1:K39"/>
    </sheetView>
  </sheetViews>
  <sheetFormatPr defaultRowHeight="15" x14ac:dyDescent="0.25"/>
  <cols>
    <col min="1" max="1" width="29.140625" style="1" customWidth="1"/>
    <col min="2" max="2" width="15.28515625" style="1" customWidth="1"/>
    <col min="3" max="3" width="11" style="3" customWidth="1"/>
    <col min="4" max="4" width="11.140625" style="1" customWidth="1"/>
    <col min="5" max="5" width="14.42578125" style="1" customWidth="1"/>
    <col min="6" max="8" width="11" style="1" customWidth="1"/>
    <col min="9" max="9" width="15.28515625" style="1" customWidth="1"/>
    <col min="10" max="10" width="13.7109375" style="1" customWidth="1"/>
    <col min="11" max="11" width="14.5703125" style="1" customWidth="1"/>
    <col min="12" max="14" width="9.140625" style="1"/>
    <col min="15" max="15" width="12.5703125" style="1" customWidth="1"/>
    <col min="16" max="16" width="11.5703125" style="1" customWidth="1"/>
    <col min="17" max="16384" width="9.140625" style="1"/>
  </cols>
  <sheetData>
    <row r="1" spans="1:22" ht="23.25" customHeight="1" x14ac:dyDescent="0.25">
      <c r="A1" s="65" t="s">
        <v>23</v>
      </c>
      <c r="B1" s="66"/>
      <c r="C1" s="66"/>
      <c r="D1" s="66"/>
      <c r="E1" s="66"/>
      <c r="F1" s="66"/>
      <c r="G1" s="66"/>
      <c r="H1" s="66"/>
      <c r="I1" s="66"/>
      <c r="J1" s="66"/>
      <c r="K1" s="67"/>
    </row>
    <row r="2" spans="1:22" ht="19.5" customHeight="1" x14ac:dyDescent="0.25">
      <c r="A2" s="16" t="s">
        <v>11</v>
      </c>
      <c r="B2" s="68">
        <v>600</v>
      </c>
      <c r="C2" s="68"/>
      <c r="D2" s="17" t="s">
        <v>13</v>
      </c>
      <c r="E2" s="68" t="s">
        <v>31</v>
      </c>
      <c r="F2" s="68"/>
      <c r="G2" s="68"/>
      <c r="H2" s="68"/>
      <c r="I2" s="68"/>
      <c r="J2" s="68"/>
      <c r="K2" s="69"/>
    </row>
    <row r="3" spans="1:22" ht="19.5" customHeight="1" x14ac:dyDescent="0.25">
      <c r="A3" s="16" t="s">
        <v>32</v>
      </c>
      <c r="B3" s="68">
        <v>318</v>
      </c>
      <c r="C3" s="68"/>
      <c r="D3" s="17" t="s">
        <v>14</v>
      </c>
      <c r="E3" s="7"/>
      <c r="F3" s="68">
        <v>2001.9</v>
      </c>
      <c r="G3" s="68"/>
      <c r="H3" s="68"/>
      <c r="I3" s="68"/>
      <c r="J3" s="68"/>
      <c r="K3" s="69"/>
    </row>
    <row r="4" spans="1:22" ht="19.5" customHeight="1" x14ac:dyDescent="0.25">
      <c r="A4" s="16" t="s">
        <v>33</v>
      </c>
      <c r="B4" s="68">
        <f>B3/2.5</f>
        <v>127.2</v>
      </c>
      <c r="C4" s="68"/>
      <c r="D4" s="17" t="s">
        <v>15</v>
      </c>
      <c r="E4" s="7"/>
      <c r="F4" s="68" t="s">
        <v>18</v>
      </c>
      <c r="G4" s="68"/>
      <c r="H4" s="68"/>
      <c r="I4" s="68"/>
      <c r="J4" s="68"/>
      <c r="K4" s="69"/>
    </row>
    <row r="5" spans="1:22" ht="19.5" customHeight="1" x14ac:dyDescent="0.25">
      <c r="A5" s="16" t="s">
        <v>12</v>
      </c>
      <c r="B5" s="77">
        <v>46121</v>
      </c>
      <c r="C5" s="68"/>
      <c r="D5" s="17" t="s">
        <v>16</v>
      </c>
      <c r="E5" s="7"/>
      <c r="F5" s="68" t="s">
        <v>26</v>
      </c>
      <c r="G5" s="68"/>
      <c r="H5" s="68"/>
      <c r="I5" s="68"/>
      <c r="J5" s="68"/>
      <c r="K5" s="69"/>
    </row>
    <row r="6" spans="1:22" ht="19.5" customHeight="1" thickBot="1" x14ac:dyDescent="0.3">
      <c r="A6" s="23" t="s">
        <v>19</v>
      </c>
      <c r="B6" s="74">
        <v>46182</v>
      </c>
      <c r="C6" s="70"/>
      <c r="D6" s="18" t="s">
        <v>17</v>
      </c>
      <c r="E6" s="8"/>
      <c r="F6" s="70" t="s">
        <v>30</v>
      </c>
      <c r="G6" s="70"/>
      <c r="H6" s="70"/>
      <c r="I6" s="70"/>
      <c r="J6" s="70"/>
      <c r="K6" s="71"/>
    </row>
    <row r="7" spans="1:22" ht="45.75" customHeight="1" x14ac:dyDescent="0.25">
      <c r="A7" s="90" t="s">
        <v>0</v>
      </c>
      <c r="B7" s="75" t="s">
        <v>6</v>
      </c>
      <c r="C7" s="75" t="s">
        <v>7</v>
      </c>
      <c r="D7" s="89" t="s">
        <v>8</v>
      </c>
      <c r="E7" s="89" t="s">
        <v>9</v>
      </c>
      <c r="F7" s="89"/>
      <c r="G7" s="89"/>
      <c r="H7" s="89"/>
      <c r="I7" s="75" t="s">
        <v>1</v>
      </c>
      <c r="J7" s="75" t="s">
        <v>10</v>
      </c>
      <c r="K7" s="72" t="s">
        <v>20</v>
      </c>
      <c r="N7" s="84"/>
      <c r="O7" s="50"/>
      <c r="P7" s="50"/>
    </row>
    <row r="8" spans="1:22" ht="16.5" thickBot="1" x14ac:dyDescent="0.3">
      <c r="A8" s="91"/>
      <c r="B8" s="76"/>
      <c r="C8" s="76"/>
      <c r="D8" s="92"/>
      <c r="E8" s="15" t="s">
        <v>2</v>
      </c>
      <c r="F8" s="15" t="s">
        <v>3</v>
      </c>
      <c r="G8" s="15" t="s">
        <v>4</v>
      </c>
      <c r="H8" s="15" t="s">
        <v>5</v>
      </c>
      <c r="I8" s="76"/>
      <c r="J8" s="76"/>
      <c r="K8" s="73"/>
      <c r="N8" s="84"/>
      <c r="O8" s="50"/>
      <c r="P8" s="50"/>
    </row>
    <row r="9" spans="1:22" ht="16.5" thickBot="1" x14ac:dyDescent="0.3">
      <c r="A9" s="81" t="s">
        <v>24</v>
      </c>
      <c r="B9" s="82"/>
      <c r="C9" s="82"/>
      <c r="D9" s="82"/>
      <c r="E9" s="82"/>
      <c r="F9" s="82"/>
      <c r="G9" s="82"/>
      <c r="H9" s="82"/>
      <c r="I9" s="82"/>
      <c r="J9" s="82"/>
      <c r="K9" s="83"/>
      <c r="O9" s="85"/>
      <c r="P9" s="85"/>
    </row>
    <row r="10" spans="1:22" ht="16.5" customHeight="1" x14ac:dyDescent="0.25">
      <c r="A10" s="57">
        <v>1</v>
      </c>
      <c r="B10" s="9">
        <v>0</v>
      </c>
      <c r="C10" s="54">
        <v>15</v>
      </c>
      <c r="D10" s="54">
        <f>(C10*F3/1000)</f>
        <v>30.028500000000001</v>
      </c>
      <c r="E10" s="10">
        <v>0</v>
      </c>
      <c r="F10" s="10">
        <v>0</v>
      </c>
      <c r="G10" s="10">
        <v>0</v>
      </c>
      <c r="H10" s="10">
        <v>0</v>
      </c>
      <c r="I10" s="10">
        <f>E10+F10+G10+H10</f>
        <v>0</v>
      </c>
      <c r="J10" s="54">
        <f>(I14-I10)/4</f>
        <v>0.53749999999999998</v>
      </c>
      <c r="K10" s="51">
        <f>J10</f>
        <v>0.53749999999999998</v>
      </c>
      <c r="N10" s="2"/>
      <c r="O10" s="86" t="s">
        <v>21</v>
      </c>
      <c r="P10" s="86" t="s">
        <v>22</v>
      </c>
      <c r="Q10" s="4"/>
      <c r="R10" s="4"/>
      <c r="S10" s="4"/>
      <c r="T10" s="4"/>
      <c r="U10" s="4"/>
      <c r="V10" s="4"/>
    </row>
    <row r="11" spans="1:22" ht="16.5" customHeight="1" x14ac:dyDescent="0.25">
      <c r="A11" s="58"/>
      <c r="B11" s="11">
        <v>15</v>
      </c>
      <c r="C11" s="55"/>
      <c r="D11" s="55"/>
      <c r="E11" s="12">
        <v>0.5</v>
      </c>
      <c r="F11" s="12">
        <v>0.72</v>
      </c>
      <c r="G11" s="12">
        <v>0.4</v>
      </c>
      <c r="H11" s="12">
        <v>0.23</v>
      </c>
      <c r="I11" s="12">
        <f t="shared" ref="I11:I106" si="0">E11+F11+G11+H11</f>
        <v>1.85</v>
      </c>
      <c r="J11" s="55"/>
      <c r="K11" s="52"/>
      <c r="O11" s="87"/>
      <c r="P11" s="87"/>
      <c r="Q11" s="4"/>
      <c r="R11" s="4"/>
      <c r="S11" s="4"/>
      <c r="T11" s="4"/>
      <c r="U11" s="4"/>
      <c r="V11" s="4"/>
    </row>
    <row r="12" spans="1:22" ht="16.5" customHeight="1" x14ac:dyDescent="0.25">
      <c r="A12" s="58"/>
      <c r="B12" s="11">
        <v>30</v>
      </c>
      <c r="C12" s="55"/>
      <c r="D12" s="55"/>
      <c r="E12" s="12">
        <v>0.53</v>
      </c>
      <c r="F12" s="12">
        <v>0.73</v>
      </c>
      <c r="G12" s="12">
        <v>0.42</v>
      </c>
      <c r="H12" s="12">
        <v>0.25</v>
      </c>
      <c r="I12" s="12">
        <f t="shared" si="0"/>
        <v>1.93</v>
      </c>
      <c r="J12" s="55"/>
      <c r="K12" s="52"/>
      <c r="O12" s="87"/>
      <c r="P12" s="87"/>
      <c r="Q12" s="4"/>
      <c r="R12" s="4"/>
      <c r="S12" s="4"/>
      <c r="T12" s="4"/>
      <c r="U12" s="4"/>
      <c r="V12" s="4"/>
    </row>
    <row r="13" spans="1:22" ht="16.5" customHeight="1" x14ac:dyDescent="0.25">
      <c r="A13" s="58"/>
      <c r="B13" s="11">
        <v>30</v>
      </c>
      <c r="C13" s="55"/>
      <c r="D13" s="55"/>
      <c r="E13" s="12">
        <v>0.56000000000000005</v>
      </c>
      <c r="F13" s="12">
        <v>0.75</v>
      </c>
      <c r="G13" s="12">
        <v>0.45</v>
      </c>
      <c r="H13" s="12">
        <v>0.28000000000000003</v>
      </c>
      <c r="I13" s="12">
        <f t="shared" si="0"/>
        <v>2.04</v>
      </c>
      <c r="J13" s="55"/>
      <c r="K13" s="52"/>
      <c r="O13" s="87"/>
      <c r="P13" s="87"/>
      <c r="Q13" s="4"/>
      <c r="R13" s="4"/>
      <c r="S13" s="4"/>
      <c r="T13" s="4"/>
      <c r="U13" s="4"/>
      <c r="V13" s="4"/>
    </row>
    <row r="14" spans="1:22" ht="16.5" customHeight="1" thickBot="1" x14ac:dyDescent="0.3">
      <c r="A14" s="59"/>
      <c r="B14" s="13">
        <v>60</v>
      </c>
      <c r="C14" s="56"/>
      <c r="D14" s="56"/>
      <c r="E14" s="14">
        <v>0.59</v>
      </c>
      <c r="F14" s="14">
        <v>0.79</v>
      </c>
      <c r="G14" s="14">
        <v>0.47</v>
      </c>
      <c r="H14" s="14">
        <v>0.3</v>
      </c>
      <c r="I14" s="14">
        <f t="shared" si="0"/>
        <v>2.15</v>
      </c>
      <c r="J14" s="56"/>
      <c r="K14" s="53"/>
      <c r="O14" s="88"/>
      <c r="P14" s="88"/>
      <c r="Q14" s="4"/>
      <c r="R14" s="4"/>
      <c r="S14" s="4"/>
      <c r="T14" s="4"/>
      <c r="U14" s="4"/>
      <c r="V14" s="4"/>
    </row>
    <row r="15" spans="1:22" ht="16.5" customHeight="1" x14ac:dyDescent="0.25">
      <c r="A15" s="57">
        <v>2</v>
      </c>
      <c r="B15" s="9">
        <v>0</v>
      </c>
      <c r="C15" s="54">
        <v>30</v>
      </c>
      <c r="D15" s="54">
        <f>(C15*F3/1000)</f>
        <v>60.057000000000002</v>
      </c>
      <c r="E15" s="10">
        <f>E14</f>
        <v>0.59</v>
      </c>
      <c r="F15" s="10">
        <f>F14</f>
        <v>0.79</v>
      </c>
      <c r="G15" s="10">
        <f>G14</f>
        <v>0.47</v>
      </c>
      <c r="H15" s="10">
        <f>H14</f>
        <v>0.3</v>
      </c>
      <c r="I15" s="10">
        <f t="shared" si="0"/>
        <v>2.15</v>
      </c>
      <c r="J15" s="54">
        <f>(I19-I15)/4</f>
        <v>0.49749999999999994</v>
      </c>
      <c r="K15" s="51">
        <f>K10+J15</f>
        <v>1.0349999999999999</v>
      </c>
      <c r="O15" s="6">
        <v>0</v>
      </c>
      <c r="P15" s="6">
        <v>0</v>
      </c>
      <c r="Q15" s="4"/>
      <c r="R15" s="4"/>
      <c r="S15" s="4"/>
      <c r="T15" s="4"/>
      <c r="U15" s="4"/>
      <c r="V15" s="4"/>
    </row>
    <row r="16" spans="1:22" ht="16.5" customHeight="1" x14ac:dyDescent="0.25">
      <c r="A16" s="58"/>
      <c r="B16" s="11">
        <v>15</v>
      </c>
      <c r="C16" s="55"/>
      <c r="D16" s="55"/>
      <c r="E16" s="12">
        <v>1.01</v>
      </c>
      <c r="F16" s="12">
        <v>1.1200000000000001</v>
      </c>
      <c r="G16" s="12">
        <v>0.91</v>
      </c>
      <c r="H16" s="12">
        <v>0.82</v>
      </c>
      <c r="I16" s="12">
        <f t="shared" si="0"/>
        <v>3.86</v>
      </c>
      <c r="J16" s="55"/>
      <c r="K16" s="52"/>
      <c r="O16" s="4"/>
      <c r="P16" s="4"/>
      <c r="Q16" s="4"/>
      <c r="R16" s="4"/>
      <c r="S16" s="4"/>
      <c r="T16" s="4"/>
      <c r="U16" s="4"/>
      <c r="V16" s="4"/>
    </row>
    <row r="17" spans="1:22" ht="16.5" customHeight="1" x14ac:dyDescent="0.25">
      <c r="A17" s="58"/>
      <c r="B17" s="11">
        <v>30</v>
      </c>
      <c r="C17" s="55"/>
      <c r="D17" s="55"/>
      <c r="E17" s="12">
        <v>1.04</v>
      </c>
      <c r="F17" s="12">
        <v>1.1599999999999999</v>
      </c>
      <c r="G17" s="12">
        <v>0.95</v>
      </c>
      <c r="H17" s="12">
        <v>0.86</v>
      </c>
      <c r="I17" s="12">
        <f t="shared" si="0"/>
        <v>4.0100000000000007</v>
      </c>
      <c r="J17" s="55"/>
      <c r="K17" s="52"/>
      <c r="O17" s="4"/>
      <c r="P17" s="4"/>
      <c r="Q17" s="4"/>
      <c r="R17" s="4"/>
      <c r="S17" s="4"/>
      <c r="T17" s="4"/>
      <c r="U17" s="4"/>
      <c r="V17" s="4"/>
    </row>
    <row r="18" spans="1:22" ht="16.5" customHeight="1" thickBot="1" x14ac:dyDescent="0.3">
      <c r="A18" s="58"/>
      <c r="B18" s="11">
        <v>30</v>
      </c>
      <c r="C18" s="55"/>
      <c r="D18" s="55"/>
      <c r="E18" s="12">
        <v>1.06</v>
      </c>
      <c r="F18" s="12">
        <v>1.18</v>
      </c>
      <c r="G18" s="12">
        <v>0.97</v>
      </c>
      <c r="H18" s="12">
        <v>0.88</v>
      </c>
      <c r="I18" s="12">
        <f t="shared" si="0"/>
        <v>4.09</v>
      </c>
      <c r="J18" s="55"/>
      <c r="K18" s="52"/>
      <c r="O18" s="5">
        <f>D10</f>
        <v>30.028500000000001</v>
      </c>
      <c r="P18" s="5">
        <f>K10</f>
        <v>0.53749999999999998</v>
      </c>
      <c r="Q18" s="4"/>
      <c r="R18" s="4"/>
      <c r="S18" s="4"/>
      <c r="T18" s="4"/>
      <c r="U18" s="4"/>
      <c r="V18" s="4"/>
    </row>
    <row r="19" spans="1:22" ht="16.5" customHeight="1" thickBot="1" x14ac:dyDescent="0.3">
      <c r="A19" s="59"/>
      <c r="B19" s="13">
        <v>60</v>
      </c>
      <c r="C19" s="56"/>
      <c r="D19" s="56"/>
      <c r="E19" s="14">
        <v>1.08</v>
      </c>
      <c r="F19" s="14">
        <v>1.19</v>
      </c>
      <c r="G19" s="14">
        <v>0.98</v>
      </c>
      <c r="H19" s="14">
        <v>0.89</v>
      </c>
      <c r="I19" s="10">
        <f t="shared" si="0"/>
        <v>4.1399999999999997</v>
      </c>
      <c r="J19" s="56"/>
      <c r="K19" s="53"/>
      <c r="O19" s="5">
        <f>D15</f>
        <v>60.057000000000002</v>
      </c>
      <c r="P19" s="5">
        <f>K15</f>
        <v>1.0349999999999999</v>
      </c>
      <c r="Q19" s="4"/>
      <c r="R19" s="4"/>
      <c r="S19" s="4"/>
      <c r="T19" s="4"/>
      <c r="U19" s="4"/>
      <c r="V19" s="4"/>
    </row>
    <row r="20" spans="1:22" ht="16.5" customHeight="1" x14ac:dyDescent="0.25">
      <c r="A20" s="57">
        <v>3</v>
      </c>
      <c r="B20" s="9">
        <v>0</v>
      </c>
      <c r="C20" s="54">
        <v>45</v>
      </c>
      <c r="D20" s="54">
        <f>(C20*F3/1000)</f>
        <v>90.085499999999996</v>
      </c>
      <c r="E20" s="10">
        <f>E19</f>
        <v>1.08</v>
      </c>
      <c r="F20" s="10">
        <f>F19</f>
        <v>1.19</v>
      </c>
      <c r="G20" s="10">
        <f>G19</f>
        <v>0.98</v>
      </c>
      <c r="H20" s="10">
        <f>H19</f>
        <v>0.89</v>
      </c>
      <c r="I20" s="10">
        <f t="shared" si="0"/>
        <v>4.1399999999999997</v>
      </c>
      <c r="J20" s="54">
        <f>(I24-I20)/4</f>
        <v>0.72250000000000014</v>
      </c>
      <c r="K20" s="51">
        <f>K15+J20</f>
        <v>1.7575000000000001</v>
      </c>
      <c r="O20" s="5">
        <f>D20</f>
        <v>90.085499999999996</v>
      </c>
      <c r="P20" s="5">
        <f>K20</f>
        <v>1.7575000000000001</v>
      </c>
      <c r="Q20" s="4"/>
      <c r="R20" s="4"/>
      <c r="S20" s="4"/>
      <c r="T20" s="4"/>
      <c r="U20" s="4"/>
      <c r="V20" s="4"/>
    </row>
    <row r="21" spans="1:22" ht="16.5" customHeight="1" x14ac:dyDescent="0.25">
      <c r="A21" s="58"/>
      <c r="B21" s="11">
        <v>15</v>
      </c>
      <c r="C21" s="55"/>
      <c r="D21" s="55"/>
      <c r="E21" s="12">
        <v>1.78</v>
      </c>
      <c r="F21" s="12">
        <v>1.82</v>
      </c>
      <c r="G21" s="12">
        <v>1.6</v>
      </c>
      <c r="H21" s="12">
        <v>1.52</v>
      </c>
      <c r="I21" s="12">
        <f t="shared" si="0"/>
        <v>6.7200000000000006</v>
      </c>
      <c r="J21" s="55"/>
      <c r="K21" s="52"/>
      <c r="O21" s="4"/>
      <c r="P21" s="4"/>
      <c r="Q21" s="4"/>
      <c r="R21" s="4"/>
      <c r="S21" s="4"/>
      <c r="T21" s="4"/>
      <c r="U21" s="4"/>
      <c r="V21" s="4"/>
    </row>
    <row r="22" spans="1:22" ht="16.5" customHeight="1" x14ac:dyDescent="0.25">
      <c r="A22" s="58"/>
      <c r="B22" s="11">
        <v>30</v>
      </c>
      <c r="C22" s="55"/>
      <c r="D22" s="55"/>
      <c r="E22" s="12">
        <v>1.83</v>
      </c>
      <c r="F22" s="12">
        <v>1.87</v>
      </c>
      <c r="G22" s="12">
        <v>1.65</v>
      </c>
      <c r="H22" s="12">
        <v>1.54</v>
      </c>
      <c r="I22" s="12">
        <f t="shared" si="0"/>
        <v>6.89</v>
      </c>
      <c r="J22" s="55"/>
      <c r="K22" s="52"/>
      <c r="O22" s="4"/>
      <c r="P22" s="4"/>
      <c r="Q22" s="4"/>
      <c r="R22" s="4"/>
      <c r="S22" s="4"/>
      <c r="T22" s="4"/>
      <c r="U22" s="4"/>
      <c r="V22" s="4"/>
    </row>
    <row r="23" spans="1:22" ht="16.5" customHeight="1" x14ac:dyDescent="0.25">
      <c r="A23" s="58"/>
      <c r="B23" s="11">
        <v>30</v>
      </c>
      <c r="C23" s="55"/>
      <c r="D23" s="55"/>
      <c r="E23" s="12">
        <v>1.86</v>
      </c>
      <c r="F23" s="12">
        <v>1.9</v>
      </c>
      <c r="G23" s="12">
        <v>1.67</v>
      </c>
      <c r="H23" s="12">
        <v>1.56</v>
      </c>
      <c r="I23" s="12">
        <f t="shared" si="0"/>
        <v>6.99</v>
      </c>
      <c r="J23" s="55"/>
      <c r="K23" s="52"/>
      <c r="O23" s="5">
        <f>D25</f>
        <v>120.114</v>
      </c>
      <c r="P23" s="5">
        <f>K25</f>
        <v>2.2300000000000004</v>
      </c>
      <c r="Q23" s="4"/>
      <c r="R23" s="4"/>
      <c r="S23" s="4"/>
      <c r="T23" s="4"/>
      <c r="U23" s="4"/>
      <c r="V23" s="4"/>
    </row>
    <row r="24" spans="1:22" ht="16.5" customHeight="1" thickBot="1" x14ac:dyDescent="0.3">
      <c r="A24" s="59"/>
      <c r="B24" s="13">
        <v>60</v>
      </c>
      <c r="C24" s="56"/>
      <c r="D24" s="56"/>
      <c r="E24" s="14">
        <v>1.87</v>
      </c>
      <c r="F24" s="14">
        <v>1.91</v>
      </c>
      <c r="G24" s="14">
        <v>1.68</v>
      </c>
      <c r="H24" s="14">
        <v>1.57</v>
      </c>
      <c r="I24" s="14">
        <f t="shared" si="0"/>
        <v>7.03</v>
      </c>
      <c r="J24" s="56"/>
      <c r="K24" s="53"/>
      <c r="O24" s="5">
        <f>D30</f>
        <v>150.14250000000001</v>
      </c>
      <c r="P24" s="5">
        <f>K30</f>
        <v>2.8174999999999999</v>
      </c>
      <c r="Q24" s="4"/>
      <c r="R24" s="4"/>
      <c r="S24" s="4"/>
      <c r="T24" s="4"/>
      <c r="U24" s="4"/>
      <c r="V24" s="4"/>
    </row>
    <row r="25" spans="1:22" ht="16.5" customHeight="1" x14ac:dyDescent="0.25">
      <c r="A25" s="57">
        <v>4</v>
      </c>
      <c r="B25" s="9">
        <v>0</v>
      </c>
      <c r="C25" s="54">
        <v>60</v>
      </c>
      <c r="D25" s="54">
        <f>(C25*2001.9)/1000</f>
        <v>120.114</v>
      </c>
      <c r="E25" s="10">
        <f>E24</f>
        <v>1.87</v>
      </c>
      <c r="F25" s="10">
        <f>F24</f>
        <v>1.91</v>
      </c>
      <c r="G25" s="10">
        <f>G24</f>
        <v>1.68</v>
      </c>
      <c r="H25" s="10">
        <f>H24</f>
        <v>1.57</v>
      </c>
      <c r="I25" s="10">
        <f t="shared" si="0"/>
        <v>7.03</v>
      </c>
      <c r="J25" s="54">
        <f>(I29-I25)/4</f>
        <v>0.47250000000000036</v>
      </c>
      <c r="K25" s="51">
        <f t="shared" ref="K25" si="1">K20+J25</f>
        <v>2.2300000000000004</v>
      </c>
      <c r="O25" s="5">
        <f>D35</f>
        <v>180.17099999999999</v>
      </c>
      <c r="P25" s="5">
        <f>K35</f>
        <v>3.4725000000000001</v>
      </c>
      <c r="Q25" s="4"/>
      <c r="R25" s="4"/>
      <c r="S25" s="4"/>
      <c r="T25" s="4"/>
      <c r="U25" s="4"/>
      <c r="V25" s="4"/>
    </row>
    <row r="26" spans="1:22" ht="16.5" customHeight="1" x14ac:dyDescent="0.25">
      <c r="A26" s="58"/>
      <c r="B26" s="11">
        <v>15</v>
      </c>
      <c r="C26" s="55"/>
      <c r="D26" s="55"/>
      <c r="E26" s="12">
        <v>2.2000000000000002</v>
      </c>
      <c r="F26" s="12">
        <v>2.3199999999999998</v>
      </c>
      <c r="G26" s="12">
        <v>2.0499999999999998</v>
      </c>
      <c r="H26" s="12">
        <v>1.97</v>
      </c>
      <c r="I26" s="12">
        <f t="shared" si="0"/>
        <v>8.5399999999999991</v>
      </c>
      <c r="J26" s="55"/>
      <c r="K26" s="52"/>
      <c r="O26" s="4"/>
      <c r="P26" s="4"/>
      <c r="Q26" s="4"/>
      <c r="R26" s="4"/>
      <c r="S26" s="4"/>
      <c r="T26" s="4"/>
      <c r="U26" s="4"/>
      <c r="V26" s="4"/>
    </row>
    <row r="27" spans="1:22" ht="16.5" customHeight="1" x14ac:dyDescent="0.25">
      <c r="A27" s="58"/>
      <c r="B27" s="11">
        <v>30</v>
      </c>
      <c r="C27" s="55"/>
      <c r="D27" s="55"/>
      <c r="E27" s="12">
        <v>2.25</v>
      </c>
      <c r="F27" s="12">
        <v>2.37</v>
      </c>
      <c r="G27" s="12">
        <v>2.09</v>
      </c>
      <c r="H27" s="12">
        <v>2.0099999999999998</v>
      </c>
      <c r="I27" s="12">
        <f t="shared" si="0"/>
        <v>8.7199999999999989</v>
      </c>
      <c r="J27" s="55"/>
      <c r="K27" s="52"/>
      <c r="O27" s="4"/>
      <c r="P27" s="4"/>
      <c r="Q27" s="4"/>
      <c r="R27" s="4"/>
      <c r="S27" s="4"/>
      <c r="T27" s="4"/>
      <c r="U27" s="4"/>
      <c r="V27" s="4"/>
    </row>
    <row r="28" spans="1:22" ht="16.5" customHeight="1" thickBot="1" x14ac:dyDescent="0.3">
      <c r="A28" s="58"/>
      <c r="B28" s="11">
        <v>30</v>
      </c>
      <c r="C28" s="55"/>
      <c r="D28" s="55"/>
      <c r="E28" s="12">
        <v>2.2799999999999998</v>
      </c>
      <c r="F28" s="12">
        <v>2.41</v>
      </c>
      <c r="G28" s="12">
        <v>2.12</v>
      </c>
      <c r="H28" s="12">
        <v>2.04</v>
      </c>
      <c r="I28" s="12">
        <f t="shared" si="0"/>
        <v>8.85</v>
      </c>
      <c r="J28" s="55"/>
      <c r="K28" s="52"/>
      <c r="O28" s="5">
        <f>D40</f>
        <v>210.1995</v>
      </c>
      <c r="P28" s="5">
        <f>K40</f>
        <v>4.7374999999999998</v>
      </c>
      <c r="Q28" s="4"/>
      <c r="R28" s="4"/>
      <c r="S28" s="4"/>
      <c r="T28" s="4"/>
      <c r="U28" s="4"/>
      <c r="V28" s="4"/>
    </row>
    <row r="29" spans="1:22" ht="16.5" customHeight="1" thickBot="1" x14ac:dyDescent="0.3">
      <c r="A29" s="59"/>
      <c r="B29" s="13">
        <v>60</v>
      </c>
      <c r="C29" s="56"/>
      <c r="D29" s="56"/>
      <c r="E29" s="14">
        <v>2.29</v>
      </c>
      <c r="F29" s="14">
        <v>2.4300000000000002</v>
      </c>
      <c r="G29" s="14">
        <v>2.15</v>
      </c>
      <c r="H29" s="14">
        <v>2.0499999999999998</v>
      </c>
      <c r="I29" s="10">
        <f t="shared" si="0"/>
        <v>8.9200000000000017</v>
      </c>
      <c r="J29" s="56"/>
      <c r="K29" s="53"/>
      <c r="O29" s="5">
        <f>D45</f>
        <v>240.22800000000001</v>
      </c>
      <c r="P29" s="5">
        <f>K45</f>
        <v>5.4175000000000004</v>
      </c>
      <c r="Q29" s="4"/>
      <c r="R29" s="4"/>
      <c r="S29" s="4"/>
      <c r="T29" s="4"/>
      <c r="U29" s="4"/>
      <c r="V29" s="4"/>
    </row>
    <row r="30" spans="1:22" ht="16.5" customHeight="1" x14ac:dyDescent="0.25">
      <c r="A30" s="57">
        <v>5</v>
      </c>
      <c r="B30" s="9">
        <v>0</v>
      </c>
      <c r="C30" s="54">
        <v>75</v>
      </c>
      <c r="D30" s="54">
        <f>(C30*2001.9)/1000</f>
        <v>150.14250000000001</v>
      </c>
      <c r="E30" s="10">
        <f>E29</f>
        <v>2.29</v>
      </c>
      <c r="F30" s="10">
        <f>F29</f>
        <v>2.4300000000000002</v>
      </c>
      <c r="G30" s="10">
        <f>G29</f>
        <v>2.15</v>
      </c>
      <c r="H30" s="10">
        <f>H29</f>
        <v>2.0499999999999998</v>
      </c>
      <c r="I30" s="10">
        <f t="shared" si="0"/>
        <v>8.9200000000000017</v>
      </c>
      <c r="J30" s="54">
        <f>(I34-I30)/4</f>
        <v>0.58749999999999947</v>
      </c>
      <c r="K30" s="51">
        <f t="shared" ref="K30" si="2">K25+J30</f>
        <v>2.8174999999999999</v>
      </c>
      <c r="O30" s="5">
        <f>D50</f>
        <v>270.25650000000002</v>
      </c>
      <c r="P30" s="5">
        <f>K50</f>
        <v>6.2325000000000008</v>
      </c>
      <c r="Q30" s="4"/>
      <c r="R30" s="4"/>
      <c r="S30" s="4"/>
      <c r="T30" s="4"/>
      <c r="U30" s="4"/>
      <c r="V30" s="4"/>
    </row>
    <row r="31" spans="1:22" ht="16.5" customHeight="1" x14ac:dyDescent="0.25">
      <c r="A31" s="58"/>
      <c r="B31" s="11">
        <v>15</v>
      </c>
      <c r="C31" s="55"/>
      <c r="D31" s="55"/>
      <c r="E31" s="12">
        <v>2.83</v>
      </c>
      <c r="F31" s="12">
        <v>2.92</v>
      </c>
      <c r="G31" s="12">
        <v>2.72</v>
      </c>
      <c r="H31" s="12">
        <v>2.62</v>
      </c>
      <c r="I31" s="12">
        <f t="shared" si="0"/>
        <v>11.09</v>
      </c>
      <c r="J31" s="55"/>
      <c r="K31" s="52"/>
      <c r="O31" s="4"/>
      <c r="P31" s="4"/>
      <c r="Q31" s="4"/>
      <c r="R31" s="4"/>
      <c r="S31" s="4"/>
      <c r="T31" s="4"/>
      <c r="U31" s="4"/>
      <c r="V31" s="4"/>
    </row>
    <row r="32" spans="1:22" ht="16.5" customHeight="1" x14ac:dyDescent="0.25">
      <c r="A32" s="58"/>
      <c r="B32" s="11">
        <v>30</v>
      </c>
      <c r="C32" s="55"/>
      <c r="D32" s="55"/>
      <c r="E32" s="12">
        <v>2.86</v>
      </c>
      <c r="F32" s="12">
        <v>2.93</v>
      </c>
      <c r="G32" s="12">
        <v>2.73</v>
      </c>
      <c r="H32" s="12">
        <v>2.63</v>
      </c>
      <c r="I32" s="12">
        <f t="shared" si="0"/>
        <v>11.149999999999999</v>
      </c>
      <c r="J32" s="55"/>
      <c r="K32" s="52"/>
      <c r="O32" s="4"/>
      <c r="P32" s="4"/>
      <c r="Q32" s="4"/>
      <c r="R32" s="4"/>
      <c r="S32" s="4"/>
      <c r="T32" s="4"/>
      <c r="U32" s="4"/>
      <c r="V32" s="4"/>
    </row>
    <row r="33" spans="1:22" ht="16.5" customHeight="1" x14ac:dyDescent="0.25">
      <c r="A33" s="58"/>
      <c r="B33" s="11">
        <v>30</v>
      </c>
      <c r="C33" s="55"/>
      <c r="D33" s="55"/>
      <c r="E33" s="12">
        <v>2.89</v>
      </c>
      <c r="F33" s="12">
        <v>2.95</v>
      </c>
      <c r="G33" s="12">
        <v>2.74</v>
      </c>
      <c r="H33" s="12">
        <v>2.65</v>
      </c>
      <c r="I33" s="12">
        <f t="shared" si="0"/>
        <v>11.23</v>
      </c>
      <c r="J33" s="55"/>
      <c r="K33" s="52"/>
      <c r="O33" s="5">
        <f>D55</f>
        <v>300.28500000000003</v>
      </c>
      <c r="P33" s="5">
        <f>K55</f>
        <v>7.1325000000000003</v>
      </c>
      <c r="Q33" s="4"/>
      <c r="R33" s="4"/>
      <c r="S33" s="4"/>
      <c r="T33" s="4"/>
      <c r="U33" s="4"/>
      <c r="V33" s="4"/>
    </row>
    <row r="34" spans="1:22" ht="16.5" customHeight="1" thickBot="1" x14ac:dyDescent="0.3">
      <c r="A34" s="59"/>
      <c r="B34" s="13">
        <v>60</v>
      </c>
      <c r="C34" s="56"/>
      <c r="D34" s="56"/>
      <c r="E34" s="14">
        <v>2.9</v>
      </c>
      <c r="F34" s="14">
        <v>2.96</v>
      </c>
      <c r="G34" s="14">
        <v>2.75</v>
      </c>
      <c r="H34" s="14">
        <v>2.66</v>
      </c>
      <c r="I34" s="14">
        <f t="shared" si="0"/>
        <v>11.27</v>
      </c>
      <c r="J34" s="56"/>
      <c r="K34" s="53"/>
      <c r="O34" s="5">
        <f>D60</f>
        <v>320.30399999999997</v>
      </c>
      <c r="P34" s="5">
        <f>K60</f>
        <v>8.1475000000000009</v>
      </c>
      <c r="Q34" s="4"/>
      <c r="R34" s="4"/>
      <c r="S34" s="4"/>
      <c r="T34" s="4"/>
      <c r="U34" s="4"/>
      <c r="V34" s="4"/>
    </row>
    <row r="35" spans="1:22" ht="16.5" customHeight="1" thickBot="1" x14ac:dyDescent="0.3">
      <c r="A35" s="57">
        <v>6</v>
      </c>
      <c r="B35" s="9">
        <v>0</v>
      </c>
      <c r="C35" s="54">
        <v>90</v>
      </c>
      <c r="D35" s="54">
        <f>(C35*2001.9)/1000</f>
        <v>180.17099999999999</v>
      </c>
      <c r="E35" s="10">
        <f>E34</f>
        <v>2.9</v>
      </c>
      <c r="F35" s="10">
        <f>F34</f>
        <v>2.96</v>
      </c>
      <c r="G35" s="10">
        <f>G34</f>
        <v>2.75</v>
      </c>
      <c r="H35" s="10">
        <f>H34</f>
        <v>2.66</v>
      </c>
      <c r="I35" s="10">
        <f t="shared" si="0"/>
        <v>11.27</v>
      </c>
      <c r="J35" s="54">
        <f>(I39-I35)/4</f>
        <v>0.65500000000000025</v>
      </c>
      <c r="K35" s="51">
        <f t="shared" ref="K35" si="3">K30+J35</f>
        <v>3.4725000000000001</v>
      </c>
      <c r="O35" s="5">
        <f>D75</f>
        <v>320.30399999999997</v>
      </c>
      <c r="P35" s="5">
        <f>K75</f>
        <v>8.3224999999999998</v>
      </c>
      <c r="Q35" s="4"/>
      <c r="R35" s="4"/>
      <c r="S35" s="4"/>
      <c r="T35" s="4"/>
      <c r="U35" s="4"/>
      <c r="V35" s="4"/>
    </row>
    <row r="36" spans="1:22" ht="16.5" customHeight="1" thickBot="1" x14ac:dyDescent="0.3">
      <c r="A36" s="58"/>
      <c r="B36" s="11">
        <v>15</v>
      </c>
      <c r="C36" s="55"/>
      <c r="D36" s="55"/>
      <c r="E36" s="12">
        <v>3.45</v>
      </c>
      <c r="F36" s="12">
        <v>3.65</v>
      </c>
      <c r="G36" s="12">
        <v>3.39</v>
      </c>
      <c r="H36" s="12">
        <v>3.27</v>
      </c>
      <c r="I36" s="10">
        <f t="shared" si="0"/>
        <v>13.76</v>
      </c>
      <c r="J36" s="55"/>
      <c r="K36" s="52"/>
      <c r="O36" s="5">
        <f>D82</f>
        <v>300.28500000000003</v>
      </c>
      <c r="P36" s="5">
        <f>K82</f>
        <v>8.2950000000000017</v>
      </c>
      <c r="Q36" s="4"/>
      <c r="R36" s="4"/>
      <c r="S36" s="4"/>
      <c r="T36" s="4"/>
      <c r="U36" s="4"/>
      <c r="V36" s="4"/>
    </row>
    <row r="37" spans="1:22" ht="16.5" customHeight="1" thickBot="1" x14ac:dyDescent="0.3">
      <c r="A37" s="58"/>
      <c r="B37" s="11">
        <v>30</v>
      </c>
      <c r="C37" s="55"/>
      <c r="D37" s="55"/>
      <c r="E37" s="12">
        <v>3.45</v>
      </c>
      <c r="F37" s="12">
        <v>3.67</v>
      </c>
      <c r="G37" s="12">
        <v>3.41</v>
      </c>
      <c r="H37" s="12">
        <v>3.27</v>
      </c>
      <c r="I37" s="10">
        <f t="shared" si="0"/>
        <v>13.8</v>
      </c>
      <c r="J37" s="55"/>
      <c r="K37" s="52"/>
      <c r="O37" s="5">
        <f>D87</f>
        <v>270.25650000000002</v>
      </c>
      <c r="P37" s="5">
        <f>K87</f>
        <v>8.2675000000000001</v>
      </c>
      <c r="Q37" s="4"/>
      <c r="R37" s="4"/>
      <c r="S37" s="4"/>
      <c r="T37" s="4"/>
      <c r="U37" s="4"/>
      <c r="V37" s="4"/>
    </row>
    <row r="38" spans="1:22" ht="16.5" customHeight="1" x14ac:dyDescent="0.25">
      <c r="A38" s="58"/>
      <c r="B38" s="11">
        <v>30</v>
      </c>
      <c r="C38" s="55"/>
      <c r="D38" s="55"/>
      <c r="E38" s="12">
        <v>3.48</v>
      </c>
      <c r="F38" s="12">
        <v>3.66</v>
      </c>
      <c r="G38" s="12">
        <v>3.41</v>
      </c>
      <c r="H38" s="12">
        <v>3.29</v>
      </c>
      <c r="I38" s="10">
        <f t="shared" si="0"/>
        <v>13.84</v>
      </c>
      <c r="J38" s="55"/>
      <c r="K38" s="52"/>
      <c r="O38" s="5">
        <f>D92</f>
        <v>240.22800000000001</v>
      </c>
      <c r="P38" s="5">
        <f>K92</f>
        <v>8.2449999999999992</v>
      </c>
      <c r="Q38" s="4"/>
      <c r="R38" s="4"/>
      <c r="S38" s="4"/>
      <c r="T38" s="4"/>
      <c r="U38" s="4"/>
      <c r="V38" s="4"/>
    </row>
    <row r="39" spans="1:22" ht="16.5" customHeight="1" thickBot="1" x14ac:dyDescent="0.3">
      <c r="A39" s="59"/>
      <c r="B39" s="13">
        <v>60</v>
      </c>
      <c r="C39" s="56"/>
      <c r="D39" s="56"/>
      <c r="E39" s="14">
        <v>3.49</v>
      </c>
      <c r="F39" s="14">
        <v>3.66</v>
      </c>
      <c r="G39" s="14">
        <v>3.43</v>
      </c>
      <c r="H39" s="14">
        <v>3.31</v>
      </c>
      <c r="I39" s="14">
        <f t="shared" si="0"/>
        <v>13.89</v>
      </c>
      <c r="J39" s="56"/>
      <c r="K39" s="53"/>
      <c r="O39" s="5">
        <f>D97</f>
        <v>210.1995</v>
      </c>
      <c r="P39" s="5">
        <f>K97</f>
        <v>8.2225000000000001</v>
      </c>
    </row>
    <row r="40" spans="1:22" ht="16.5" customHeight="1" thickBot="1" x14ac:dyDescent="0.3">
      <c r="A40" s="57">
        <v>7</v>
      </c>
      <c r="B40" s="9">
        <v>0</v>
      </c>
      <c r="C40" s="54">
        <v>105</v>
      </c>
      <c r="D40" s="54">
        <f>(C40*2001.9)/1000</f>
        <v>210.1995</v>
      </c>
      <c r="E40" s="10">
        <f t="shared" ref="E40" si="4">E39</f>
        <v>3.49</v>
      </c>
      <c r="F40" s="10">
        <f t="shared" ref="F40" si="5">F39</f>
        <v>3.66</v>
      </c>
      <c r="G40" s="10">
        <f t="shared" ref="G40" si="6">G39</f>
        <v>3.43</v>
      </c>
      <c r="H40" s="10">
        <f t="shared" ref="H40" si="7">H39</f>
        <v>3.31</v>
      </c>
      <c r="I40" s="10">
        <f t="shared" ref="I40:I69" si="8">E40+F40+G40+H40</f>
        <v>13.89</v>
      </c>
      <c r="J40" s="54">
        <f t="shared" ref="J40" si="9">(I44-I40)/4</f>
        <v>1.2649999999999997</v>
      </c>
      <c r="K40" s="51">
        <f t="shared" ref="K40:K65" si="10">K35+J40</f>
        <v>4.7374999999999998</v>
      </c>
      <c r="O40" s="5">
        <f>D102</f>
        <v>180.17099999999999</v>
      </c>
      <c r="P40" s="5">
        <f>K102</f>
        <v>8.17</v>
      </c>
    </row>
    <row r="41" spans="1:22" ht="16.5" customHeight="1" thickBot="1" x14ac:dyDescent="0.3">
      <c r="A41" s="58"/>
      <c r="B41" s="11">
        <v>15</v>
      </c>
      <c r="C41" s="55"/>
      <c r="D41" s="55"/>
      <c r="E41" s="12">
        <v>4.7</v>
      </c>
      <c r="F41" s="12">
        <v>4.8899999999999997</v>
      </c>
      <c r="G41" s="12">
        <v>4.5999999999999996</v>
      </c>
      <c r="H41" s="12">
        <v>4.45</v>
      </c>
      <c r="I41" s="10">
        <f t="shared" si="8"/>
        <v>18.64</v>
      </c>
      <c r="J41" s="55"/>
      <c r="K41" s="52"/>
      <c r="O41" s="5">
        <f>D107</f>
        <v>150.14250000000001</v>
      </c>
      <c r="P41" s="5">
        <f>K107</f>
        <v>8.1074999999999999</v>
      </c>
    </row>
    <row r="42" spans="1:22" ht="16.5" customHeight="1" thickBot="1" x14ac:dyDescent="0.3">
      <c r="A42" s="58"/>
      <c r="B42" s="11">
        <v>30</v>
      </c>
      <c r="C42" s="55"/>
      <c r="D42" s="55"/>
      <c r="E42" s="12">
        <v>4.75</v>
      </c>
      <c r="F42" s="12">
        <v>4.93</v>
      </c>
      <c r="G42" s="12">
        <v>4.63</v>
      </c>
      <c r="H42" s="12">
        <v>4.4800000000000004</v>
      </c>
      <c r="I42" s="10">
        <f t="shared" si="8"/>
        <v>18.79</v>
      </c>
      <c r="J42" s="55"/>
      <c r="K42" s="52"/>
      <c r="O42" s="5">
        <f>D112</f>
        <v>120.114</v>
      </c>
      <c r="P42" s="5">
        <f>K112</f>
        <v>8.0225000000000009</v>
      </c>
    </row>
    <row r="43" spans="1:22" ht="16.5" customHeight="1" x14ac:dyDescent="0.25">
      <c r="A43" s="58"/>
      <c r="B43" s="11">
        <v>30</v>
      </c>
      <c r="C43" s="55"/>
      <c r="D43" s="55"/>
      <c r="E43" s="12">
        <v>4.78</v>
      </c>
      <c r="F43" s="12">
        <v>4.95</v>
      </c>
      <c r="G43" s="12">
        <v>4.6500000000000004</v>
      </c>
      <c r="H43" s="12">
        <v>4.5</v>
      </c>
      <c r="I43" s="10">
        <f t="shared" si="8"/>
        <v>18.880000000000003</v>
      </c>
      <c r="J43" s="55"/>
      <c r="K43" s="52"/>
      <c r="O43" s="5">
        <f>D117</f>
        <v>90.085499999999996</v>
      </c>
      <c r="P43" s="5">
        <f>K117</f>
        <v>7.9</v>
      </c>
    </row>
    <row r="44" spans="1:22" ht="16.5" customHeight="1" thickBot="1" x14ac:dyDescent="0.3">
      <c r="A44" s="59"/>
      <c r="B44" s="13">
        <v>60</v>
      </c>
      <c r="C44" s="56"/>
      <c r="D44" s="56"/>
      <c r="E44" s="14">
        <v>4.8</v>
      </c>
      <c r="F44" s="14">
        <v>4.97</v>
      </c>
      <c r="G44" s="14">
        <v>4.66</v>
      </c>
      <c r="H44" s="14">
        <v>4.5199999999999996</v>
      </c>
      <c r="I44" s="14">
        <f t="shared" si="8"/>
        <v>18.95</v>
      </c>
      <c r="J44" s="56"/>
      <c r="K44" s="53"/>
      <c r="O44" s="5">
        <f>D122</f>
        <v>60.057000000000002</v>
      </c>
      <c r="P44" s="5">
        <f>K122</f>
        <v>7.7200000000000006</v>
      </c>
    </row>
    <row r="45" spans="1:22" ht="16.5" customHeight="1" thickBot="1" x14ac:dyDescent="0.3">
      <c r="A45" s="57">
        <v>8</v>
      </c>
      <c r="B45" s="9">
        <v>0</v>
      </c>
      <c r="C45" s="54">
        <v>120</v>
      </c>
      <c r="D45" s="54">
        <f>(C45*2001.9)/1000</f>
        <v>240.22800000000001</v>
      </c>
      <c r="E45" s="10">
        <f t="shared" ref="E45" si="11">E44</f>
        <v>4.8</v>
      </c>
      <c r="F45" s="10">
        <f t="shared" ref="F45" si="12">F44</f>
        <v>4.97</v>
      </c>
      <c r="G45" s="10">
        <f t="shared" ref="G45" si="13">G44</f>
        <v>4.66</v>
      </c>
      <c r="H45" s="10">
        <f t="shared" ref="H45" si="14">H44</f>
        <v>4.5199999999999996</v>
      </c>
      <c r="I45" s="10">
        <f t="shared" si="8"/>
        <v>18.95</v>
      </c>
      <c r="J45" s="54">
        <f t="shared" ref="J45" si="15">(I49-I45)/4</f>
        <v>0.6800000000000006</v>
      </c>
      <c r="K45" s="51">
        <f t="shared" si="10"/>
        <v>5.4175000000000004</v>
      </c>
      <c r="O45" s="5">
        <f>D127</f>
        <v>30.028500000000001</v>
      </c>
      <c r="P45" s="5">
        <f>K127</f>
        <v>7.6174999999999997</v>
      </c>
    </row>
    <row r="46" spans="1:22" ht="16.5" customHeight="1" thickBot="1" x14ac:dyDescent="0.3">
      <c r="A46" s="58"/>
      <c r="B46" s="11">
        <v>15</v>
      </c>
      <c r="C46" s="55"/>
      <c r="D46" s="55"/>
      <c r="E46" s="12">
        <v>5.62</v>
      </c>
      <c r="F46" s="12">
        <v>5.75</v>
      </c>
      <c r="G46" s="12">
        <v>5.15</v>
      </c>
      <c r="H46" s="12">
        <v>5.0199999999999996</v>
      </c>
      <c r="I46" s="10">
        <f t="shared" si="8"/>
        <v>21.540000000000003</v>
      </c>
      <c r="J46" s="55"/>
      <c r="K46" s="52"/>
      <c r="O46" s="5">
        <v>0</v>
      </c>
      <c r="P46" s="5">
        <f>K132</f>
        <v>7.0399999999999991</v>
      </c>
    </row>
    <row r="47" spans="1:22" ht="16.5" customHeight="1" thickBot="1" x14ac:dyDescent="0.3">
      <c r="A47" s="58"/>
      <c r="B47" s="11">
        <v>30</v>
      </c>
      <c r="C47" s="55"/>
      <c r="D47" s="55"/>
      <c r="E47" s="12">
        <v>5.63</v>
      </c>
      <c r="F47" s="12">
        <v>5.76</v>
      </c>
      <c r="G47" s="12">
        <v>5.16</v>
      </c>
      <c r="H47" s="12">
        <v>5.0199999999999996</v>
      </c>
      <c r="I47" s="10">
        <f t="shared" si="8"/>
        <v>21.57</v>
      </c>
      <c r="J47" s="55"/>
      <c r="K47" s="52"/>
      <c r="O47" s="5">
        <f>C127</f>
        <v>15</v>
      </c>
      <c r="P47" s="5">
        <f>K127</f>
        <v>7.6174999999999997</v>
      </c>
    </row>
    <row r="48" spans="1:22" ht="16.5" customHeight="1" x14ac:dyDescent="0.25">
      <c r="A48" s="58"/>
      <c r="B48" s="11">
        <v>30</v>
      </c>
      <c r="C48" s="55"/>
      <c r="D48" s="55"/>
      <c r="E48" s="12">
        <v>5.64</v>
      </c>
      <c r="F48" s="12">
        <v>5.77</v>
      </c>
      <c r="G48" s="12">
        <v>5.17</v>
      </c>
      <c r="H48" s="12">
        <v>5.04</v>
      </c>
      <c r="I48" s="10">
        <f t="shared" si="8"/>
        <v>21.619999999999997</v>
      </c>
      <c r="J48" s="55"/>
      <c r="K48" s="52"/>
      <c r="O48" s="5">
        <f>D132</f>
        <v>0</v>
      </c>
      <c r="P48" s="5">
        <f>K132</f>
        <v>7.0399999999999991</v>
      </c>
    </row>
    <row r="49" spans="1:16" ht="16.5" customHeight="1" thickBot="1" x14ac:dyDescent="0.3">
      <c r="A49" s="59"/>
      <c r="B49" s="13">
        <v>60</v>
      </c>
      <c r="C49" s="56"/>
      <c r="D49" s="56"/>
      <c r="E49" s="14">
        <v>5.66</v>
      </c>
      <c r="F49" s="14">
        <v>5.78</v>
      </c>
      <c r="G49" s="14">
        <v>5.18</v>
      </c>
      <c r="H49" s="14">
        <v>5.05</v>
      </c>
      <c r="I49" s="14">
        <f>E49+F49+G49+H49</f>
        <v>21.67</v>
      </c>
      <c r="J49" s="56"/>
      <c r="K49" s="53"/>
      <c r="O49" s="5">
        <f>D137</f>
        <v>0</v>
      </c>
      <c r="P49" s="5">
        <f>K137</f>
        <v>10.43</v>
      </c>
    </row>
    <row r="50" spans="1:16" ht="16.5" customHeight="1" thickBot="1" x14ac:dyDescent="0.3">
      <c r="A50" s="57">
        <v>9</v>
      </c>
      <c r="B50" s="9">
        <v>0</v>
      </c>
      <c r="C50" s="54">
        <v>135</v>
      </c>
      <c r="D50" s="54">
        <f>(C50*2001.9)/1000</f>
        <v>270.25650000000002</v>
      </c>
      <c r="E50" s="10">
        <f t="shared" ref="E50" si="16">E49</f>
        <v>5.66</v>
      </c>
      <c r="F50" s="10">
        <f t="shared" ref="F50" si="17">F49</f>
        <v>5.78</v>
      </c>
      <c r="G50" s="10">
        <f t="shared" ref="G50" si="18">G49</f>
        <v>5.18</v>
      </c>
      <c r="H50" s="10">
        <f t="shared" ref="H50" si="19">H49</f>
        <v>5.05</v>
      </c>
      <c r="I50" s="10">
        <f t="shared" si="8"/>
        <v>21.67</v>
      </c>
      <c r="J50" s="54">
        <f t="shared" ref="J50" si="20">(I54-I50)/4</f>
        <v>0.81500000000000039</v>
      </c>
      <c r="K50" s="51">
        <f t="shared" si="10"/>
        <v>6.2325000000000008</v>
      </c>
      <c r="O50" s="5">
        <f t="shared" ref="O50:O51" si="21">D85</f>
        <v>0</v>
      </c>
      <c r="P50" s="5">
        <f>K142</f>
        <v>9.8825000000000003</v>
      </c>
    </row>
    <row r="51" spans="1:16" ht="16.5" customHeight="1" thickBot="1" x14ac:dyDescent="0.3">
      <c r="A51" s="58"/>
      <c r="B51" s="11">
        <v>15</v>
      </c>
      <c r="C51" s="55"/>
      <c r="D51" s="55"/>
      <c r="E51" s="12">
        <v>6.35</v>
      </c>
      <c r="F51" s="12">
        <v>6.49</v>
      </c>
      <c r="G51" s="12">
        <v>6.02</v>
      </c>
      <c r="H51" s="12">
        <v>5.91</v>
      </c>
      <c r="I51" s="10">
        <f t="shared" si="8"/>
        <v>24.77</v>
      </c>
      <c r="J51" s="55"/>
      <c r="K51" s="52"/>
      <c r="O51" s="5">
        <f t="shared" si="21"/>
        <v>0</v>
      </c>
    </row>
    <row r="52" spans="1:16" ht="16.5" customHeight="1" thickBot="1" x14ac:dyDescent="0.3">
      <c r="A52" s="58"/>
      <c r="B52" s="11">
        <v>30</v>
      </c>
      <c r="C52" s="55"/>
      <c r="D52" s="55"/>
      <c r="E52" s="12">
        <v>6.38</v>
      </c>
      <c r="F52" s="12">
        <v>6.53</v>
      </c>
      <c r="G52" s="12">
        <v>6.03</v>
      </c>
      <c r="H52" s="12">
        <v>5.93</v>
      </c>
      <c r="I52" s="10">
        <f t="shared" si="8"/>
        <v>24.87</v>
      </c>
      <c r="J52" s="55"/>
      <c r="K52" s="52"/>
    </row>
    <row r="53" spans="1:16" ht="16.5" customHeight="1" x14ac:dyDescent="0.25">
      <c r="A53" s="58"/>
      <c r="B53" s="11">
        <v>30</v>
      </c>
      <c r="C53" s="55"/>
      <c r="D53" s="55"/>
      <c r="E53" s="12">
        <v>6.39</v>
      </c>
      <c r="F53" s="12">
        <v>6.54</v>
      </c>
      <c r="G53" s="12">
        <v>6.03</v>
      </c>
      <c r="H53" s="12">
        <v>5.96</v>
      </c>
      <c r="I53" s="10">
        <f t="shared" si="8"/>
        <v>24.92</v>
      </c>
      <c r="J53" s="55"/>
      <c r="K53" s="52"/>
    </row>
    <row r="54" spans="1:16" ht="16.5" customHeight="1" thickBot="1" x14ac:dyDescent="0.3">
      <c r="A54" s="59"/>
      <c r="B54" s="13">
        <v>60</v>
      </c>
      <c r="C54" s="56"/>
      <c r="D54" s="56"/>
      <c r="E54" s="14">
        <v>6.4</v>
      </c>
      <c r="F54" s="14">
        <v>6.54</v>
      </c>
      <c r="G54" s="14">
        <v>6.03</v>
      </c>
      <c r="H54" s="14">
        <v>5.96</v>
      </c>
      <c r="I54" s="14">
        <f t="shared" si="8"/>
        <v>24.930000000000003</v>
      </c>
      <c r="J54" s="56"/>
      <c r="K54" s="53"/>
    </row>
    <row r="55" spans="1:16" ht="16.5" customHeight="1" thickBot="1" x14ac:dyDescent="0.3">
      <c r="A55" s="57">
        <v>10</v>
      </c>
      <c r="B55" s="9">
        <v>0</v>
      </c>
      <c r="C55" s="54">
        <v>150</v>
      </c>
      <c r="D55" s="54">
        <f>(C55*2001.9)/1000</f>
        <v>300.28500000000003</v>
      </c>
      <c r="E55" s="10">
        <f t="shared" ref="E55" si="22">E54</f>
        <v>6.4</v>
      </c>
      <c r="F55" s="10">
        <f t="shared" ref="F55" si="23">F54</f>
        <v>6.54</v>
      </c>
      <c r="G55" s="10">
        <f t="shared" ref="G55" si="24">G54</f>
        <v>6.03</v>
      </c>
      <c r="H55" s="10">
        <f t="shared" ref="H55" si="25">H54</f>
        <v>5.96</v>
      </c>
      <c r="I55" s="10">
        <f t="shared" si="8"/>
        <v>24.930000000000003</v>
      </c>
      <c r="J55" s="54">
        <f t="shared" ref="J55" si="26">(I59-I55)/4</f>
        <v>0.89999999999999947</v>
      </c>
      <c r="K55" s="51">
        <f t="shared" si="10"/>
        <v>7.1325000000000003</v>
      </c>
    </row>
    <row r="56" spans="1:16" ht="16.5" customHeight="1" thickBot="1" x14ac:dyDescent="0.3">
      <c r="A56" s="58"/>
      <c r="B56" s="11">
        <v>15</v>
      </c>
      <c r="C56" s="55"/>
      <c r="D56" s="55"/>
      <c r="E56" s="12">
        <v>7.12</v>
      </c>
      <c r="F56" s="12">
        <v>7.25</v>
      </c>
      <c r="G56" s="12">
        <v>7.01</v>
      </c>
      <c r="H56" s="12">
        <v>6.9</v>
      </c>
      <c r="I56" s="10">
        <f t="shared" si="8"/>
        <v>28.28</v>
      </c>
      <c r="J56" s="55"/>
      <c r="K56" s="52"/>
    </row>
    <row r="57" spans="1:16" ht="16.5" customHeight="1" thickBot="1" x14ac:dyDescent="0.3">
      <c r="A57" s="58"/>
      <c r="B57" s="11">
        <v>30</v>
      </c>
      <c r="C57" s="55"/>
      <c r="D57" s="55"/>
      <c r="E57" s="12">
        <v>7.15</v>
      </c>
      <c r="F57" s="12">
        <v>7.28</v>
      </c>
      <c r="G57" s="12">
        <v>7.02</v>
      </c>
      <c r="H57" s="12">
        <v>6.93</v>
      </c>
      <c r="I57" s="10">
        <f t="shared" si="8"/>
        <v>28.38</v>
      </c>
      <c r="J57" s="55"/>
      <c r="K57" s="52"/>
    </row>
    <row r="58" spans="1:16" ht="16.5" customHeight="1" x14ac:dyDescent="0.25">
      <c r="A58" s="58"/>
      <c r="B58" s="11">
        <v>30</v>
      </c>
      <c r="C58" s="55"/>
      <c r="D58" s="55"/>
      <c r="E58" s="12">
        <v>7.18</v>
      </c>
      <c r="F58" s="12">
        <v>7.29</v>
      </c>
      <c r="G58" s="12">
        <v>7.04</v>
      </c>
      <c r="H58" s="12">
        <v>6.95</v>
      </c>
      <c r="I58" s="10">
        <f t="shared" si="8"/>
        <v>28.459999999999997</v>
      </c>
      <c r="J58" s="55"/>
      <c r="K58" s="52"/>
    </row>
    <row r="59" spans="1:16" ht="16.5" customHeight="1" thickBot="1" x14ac:dyDescent="0.3">
      <c r="A59" s="59"/>
      <c r="B59" s="13">
        <v>60</v>
      </c>
      <c r="C59" s="56"/>
      <c r="D59" s="56"/>
      <c r="E59" s="14">
        <v>7.2</v>
      </c>
      <c r="F59" s="14">
        <v>7.29</v>
      </c>
      <c r="G59" s="14">
        <v>7.06</v>
      </c>
      <c r="H59" s="14">
        <v>6.98</v>
      </c>
      <c r="I59" s="14">
        <f t="shared" si="8"/>
        <v>28.53</v>
      </c>
      <c r="J59" s="56"/>
      <c r="K59" s="53"/>
    </row>
    <row r="60" spans="1:16" ht="16.5" customHeight="1" thickBot="1" x14ac:dyDescent="0.3">
      <c r="A60" s="57">
        <v>11</v>
      </c>
      <c r="B60" s="9">
        <v>0</v>
      </c>
      <c r="C60" s="54">
        <v>160</v>
      </c>
      <c r="D60" s="54">
        <f>(C60*2001.9)/1000</f>
        <v>320.30399999999997</v>
      </c>
      <c r="E60" s="10">
        <f t="shared" ref="E60" si="27">E59</f>
        <v>7.2</v>
      </c>
      <c r="F60" s="10">
        <f t="shared" ref="F60" si="28">F59</f>
        <v>7.29</v>
      </c>
      <c r="G60" s="10">
        <f t="shared" ref="G60" si="29">G59</f>
        <v>7.06</v>
      </c>
      <c r="H60" s="10">
        <f t="shared" ref="H60" si="30">H59</f>
        <v>6.98</v>
      </c>
      <c r="I60" s="10">
        <f t="shared" si="8"/>
        <v>28.53</v>
      </c>
      <c r="J60" s="54">
        <f t="shared" ref="J60" si="31">(I64-I60)/4</f>
        <v>1.0150000000000006</v>
      </c>
      <c r="K60" s="51">
        <f t="shared" si="10"/>
        <v>8.1475000000000009</v>
      </c>
    </row>
    <row r="61" spans="1:16" ht="16.5" customHeight="1" thickBot="1" x14ac:dyDescent="0.3">
      <c r="A61" s="58"/>
      <c r="B61" s="11">
        <v>15</v>
      </c>
      <c r="C61" s="55"/>
      <c r="D61" s="55"/>
      <c r="E61" s="12">
        <v>8.08</v>
      </c>
      <c r="F61" s="12">
        <v>8.2899999999999991</v>
      </c>
      <c r="G61" s="12">
        <v>8.01</v>
      </c>
      <c r="H61" s="12">
        <v>7.91</v>
      </c>
      <c r="I61" s="10">
        <f t="shared" si="8"/>
        <v>32.289999999999992</v>
      </c>
      <c r="J61" s="55"/>
      <c r="K61" s="52"/>
    </row>
    <row r="62" spans="1:16" ht="16.5" customHeight="1" thickBot="1" x14ac:dyDescent="0.3">
      <c r="A62" s="58"/>
      <c r="B62" s="11">
        <v>30</v>
      </c>
      <c r="C62" s="55"/>
      <c r="D62" s="55"/>
      <c r="E62" s="12">
        <v>8.1199999999999992</v>
      </c>
      <c r="F62" s="12">
        <v>8.32</v>
      </c>
      <c r="G62" s="12">
        <v>8.0500000000000007</v>
      </c>
      <c r="H62" s="12">
        <v>7.94</v>
      </c>
      <c r="I62" s="10">
        <f t="shared" si="8"/>
        <v>32.43</v>
      </c>
      <c r="J62" s="55"/>
      <c r="K62" s="52"/>
    </row>
    <row r="63" spans="1:16" ht="16.5" customHeight="1" x14ac:dyDescent="0.25">
      <c r="A63" s="58"/>
      <c r="B63" s="11">
        <v>30</v>
      </c>
      <c r="C63" s="55"/>
      <c r="D63" s="55"/>
      <c r="E63" s="12">
        <v>8.14</v>
      </c>
      <c r="F63" s="12">
        <v>8.35</v>
      </c>
      <c r="G63" s="12">
        <v>8.1</v>
      </c>
      <c r="H63" s="12">
        <v>7.98</v>
      </c>
      <c r="I63" s="10">
        <f t="shared" si="8"/>
        <v>32.570000000000007</v>
      </c>
      <c r="J63" s="55"/>
      <c r="K63" s="52"/>
    </row>
    <row r="64" spans="1:16" ht="16.5" customHeight="1" thickBot="1" x14ac:dyDescent="0.3">
      <c r="A64" s="59"/>
      <c r="B64" s="13">
        <v>60</v>
      </c>
      <c r="C64" s="56"/>
      <c r="D64" s="56"/>
      <c r="E64" s="14">
        <v>8.16</v>
      </c>
      <c r="F64" s="14">
        <v>8.35</v>
      </c>
      <c r="G64" s="14">
        <v>8.1</v>
      </c>
      <c r="H64" s="14">
        <v>7.98</v>
      </c>
      <c r="I64" s="14">
        <f t="shared" si="8"/>
        <v>32.590000000000003</v>
      </c>
      <c r="J64" s="56"/>
      <c r="K64" s="53"/>
    </row>
    <row r="65" spans="1:11" ht="16.5" hidden="1" customHeight="1" thickBot="1" x14ac:dyDescent="0.3">
      <c r="A65" s="57">
        <v>12</v>
      </c>
      <c r="B65" s="9">
        <v>0</v>
      </c>
      <c r="C65" s="54">
        <v>500</v>
      </c>
      <c r="D65" s="54">
        <f t="shared" ref="D65" si="32">(C65*3620.56)/1000</f>
        <v>1810.28</v>
      </c>
      <c r="E65" s="10">
        <f t="shared" ref="E65" si="33">E64</f>
        <v>8.16</v>
      </c>
      <c r="F65" s="10">
        <f t="shared" ref="F65" si="34">F64</f>
        <v>8.35</v>
      </c>
      <c r="G65" s="10">
        <f t="shared" ref="G65" si="35">G64</f>
        <v>8.1</v>
      </c>
      <c r="H65" s="10">
        <f t="shared" ref="H65" si="36">H64</f>
        <v>7.98</v>
      </c>
      <c r="I65" s="10">
        <f t="shared" si="8"/>
        <v>32.590000000000003</v>
      </c>
      <c r="J65" s="54">
        <f t="shared" ref="J65" si="37">(I69-I65)/4</f>
        <v>3.3199999999999985</v>
      </c>
      <c r="K65" s="51">
        <f t="shared" si="10"/>
        <v>11.467499999999999</v>
      </c>
    </row>
    <row r="66" spans="1:11" ht="16.5" hidden="1" customHeight="1" thickBot="1" x14ac:dyDescent="0.3">
      <c r="A66" s="58"/>
      <c r="B66" s="11">
        <v>15</v>
      </c>
      <c r="C66" s="55"/>
      <c r="D66" s="55"/>
      <c r="E66" s="12"/>
      <c r="F66" s="12"/>
      <c r="G66" s="12"/>
      <c r="H66" s="12"/>
      <c r="I66" s="12"/>
      <c r="J66" s="55"/>
      <c r="K66" s="52"/>
    </row>
    <row r="67" spans="1:11" ht="16.5" hidden="1" customHeight="1" thickBot="1" x14ac:dyDescent="0.3">
      <c r="A67" s="58"/>
      <c r="B67" s="11">
        <v>30</v>
      </c>
      <c r="C67" s="55"/>
      <c r="D67" s="55"/>
      <c r="E67" s="12"/>
      <c r="F67" s="12"/>
      <c r="G67" s="12"/>
      <c r="H67" s="12"/>
      <c r="I67" s="12"/>
      <c r="J67" s="55"/>
      <c r="K67" s="52"/>
    </row>
    <row r="68" spans="1:11" ht="16.5" hidden="1" customHeight="1" thickBot="1" x14ac:dyDescent="0.3">
      <c r="A68" s="58"/>
      <c r="B68" s="11">
        <v>30</v>
      </c>
      <c r="C68" s="55"/>
      <c r="D68" s="55"/>
      <c r="E68" s="12"/>
      <c r="F68" s="12"/>
      <c r="G68" s="12"/>
      <c r="H68" s="12"/>
      <c r="I68" s="12"/>
      <c r="J68" s="55"/>
      <c r="K68" s="52"/>
    </row>
    <row r="69" spans="1:11" ht="16.5" hidden="1" customHeight="1" thickBot="1" x14ac:dyDescent="0.3">
      <c r="A69" s="59"/>
      <c r="B69" s="13">
        <v>60</v>
      </c>
      <c r="C69" s="56"/>
      <c r="D69" s="56"/>
      <c r="E69" s="14">
        <v>6.48</v>
      </c>
      <c r="F69" s="14">
        <v>12.97</v>
      </c>
      <c r="G69" s="14">
        <v>14.55</v>
      </c>
      <c r="H69" s="14">
        <v>11.87</v>
      </c>
      <c r="I69" s="14">
        <f t="shared" si="8"/>
        <v>45.87</v>
      </c>
      <c r="J69" s="56"/>
      <c r="K69" s="53"/>
    </row>
    <row r="70" spans="1:11" ht="16.5" hidden="1" customHeight="1" thickBot="1" x14ac:dyDescent="0.3">
      <c r="A70" s="57">
        <v>13</v>
      </c>
      <c r="B70" s="9">
        <v>0</v>
      </c>
      <c r="C70" s="54">
        <v>560</v>
      </c>
      <c r="D70" s="54">
        <f t="shared" ref="D70" si="38">(C70*3620.56)/1000</f>
        <v>2027.5135999999998</v>
      </c>
      <c r="E70" s="10">
        <f t="shared" ref="E70" si="39">E69</f>
        <v>6.48</v>
      </c>
      <c r="F70" s="10">
        <f t="shared" ref="F70" si="40">F69</f>
        <v>12.97</v>
      </c>
      <c r="G70" s="10">
        <f t="shared" ref="G70" si="41">G69</f>
        <v>14.55</v>
      </c>
      <c r="H70" s="10">
        <f t="shared" ref="H70" si="42">H69</f>
        <v>11.87</v>
      </c>
      <c r="I70" s="10">
        <f t="shared" ref="I70:I74" si="43">E70+F70+G70+H70</f>
        <v>45.87</v>
      </c>
      <c r="J70" s="54">
        <f>(I74-I70)/4</f>
        <v>0.44500000000000028</v>
      </c>
      <c r="K70" s="51">
        <f t="shared" ref="K70" si="44">K65+J70</f>
        <v>11.9125</v>
      </c>
    </row>
    <row r="71" spans="1:11" ht="16.5" hidden="1" customHeight="1" thickBot="1" x14ac:dyDescent="0.3">
      <c r="A71" s="58"/>
      <c r="B71" s="11">
        <v>15</v>
      </c>
      <c r="C71" s="55"/>
      <c r="D71" s="55"/>
      <c r="E71" s="12"/>
      <c r="F71" s="12"/>
      <c r="G71" s="12"/>
      <c r="H71" s="12"/>
      <c r="I71" s="12"/>
      <c r="J71" s="55"/>
      <c r="K71" s="52"/>
    </row>
    <row r="72" spans="1:11" ht="16.5" hidden="1" customHeight="1" thickBot="1" x14ac:dyDescent="0.3">
      <c r="A72" s="58"/>
      <c r="B72" s="11">
        <v>30</v>
      </c>
      <c r="C72" s="55"/>
      <c r="D72" s="55"/>
      <c r="E72" s="12"/>
      <c r="F72" s="12"/>
      <c r="G72" s="12"/>
      <c r="H72" s="12"/>
      <c r="I72" s="12"/>
      <c r="J72" s="55"/>
      <c r="K72" s="52"/>
    </row>
    <row r="73" spans="1:11" ht="16.5" hidden="1" customHeight="1" thickBot="1" x14ac:dyDescent="0.3">
      <c r="A73" s="58"/>
      <c r="B73" s="11">
        <v>30</v>
      </c>
      <c r="C73" s="55"/>
      <c r="D73" s="55"/>
      <c r="E73" s="12"/>
      <c r="F73" s="12"/>
      <c r="G73" s="12"/>
      <c r="H73" s="12"/>
      <c r="I73" s="12"/>
      <c r="J73" s="55"/>
      <c r="K73" s="52"/>
    </row>
    <row r="74" spans="1:11" ht="16.5" hidden="1" customHeight="1" thickBot="1" x14ac:dyDescent="0.3">
      <c r="A74" s="59"/>
      <c r="B74" s="13">
        <v>60</v>
      </c>
      <c r="C74" s="56"/>
      <c r="D74" s="56"/>
      <c r="E74" s="14">
        <v>6.8</v>
      </c>
      <c r="F74" s="14">
        <v>13.25</v>
      </c>
      <c r="G74" s="14">
        <v>15.1</v>
      </c>
      <c r="H74" s="14">
        <v>12.5</v>
      </c>
      <c r="I74" s="14">
        <f t="shared" si="43"/>
        <v>47.65</v>
      </c>
      <c r="J74" s="56"/>
      <c r="K74" s="53"/>
    </row>
    <row r="75" spans="1:11" ht="16.5" customHeight="1" thickBot="1" x14ac:dyDescent="0.3">
      <c r="A75" s="28">
        <v>12</v>
      </c>
      <c r="B75" s="29"/>
      <c r="C75" s="30">
        <v>160</v>
      </c>
      <c r="D75" s="30">
        <f>(C75*2001.9)/1000</f>
        <v>320.30399999999997</v>
      </c>
      <c r="E75" s="30">
        <v>8.3000000000000007</v>
      </c>
      <c r="F75" s="30">
        <v>8.5299999999999994</v>
      </c>
      <c r="G75" s="30">
        <v>8.27</v>
      </c>
      <c r="H75" s="30">
        <v>8.19</v>
      </c>
      <c r="I75" s="30">
        <f t="shared" si="0"/>
        <v>33.29</v>
      </c>
      <c r="J75" s="30">
        <f>(I75-I64)/4</f>
        <v>0.17499999999999893</v>
      </c>
      <c r="K75" s="31">
        <f>K60+J75</f>
        <v>8.3224999999999998</v>
      </c>
    </row>
    <row r="76" spans="1:11" ht="16.5" customHeight="1" x14ac:dyDescent="0.25">
      <c r="A76" s="24"/>
      <c r="B76" s="27"/>
      <c r="C76" s="25"/>
      <c r="D76" s="25"/>
      <c r="E76" s="25"/>
      <c r="F76" s="25"/>
      <c r="G76" s="25"/>
      <c r="H76" s="25"/>
      <c r="I76" s="25"/>
      <c r="J76" s="25"/>
      <c r="K76" s="26"/>
    </row>
    <row r="77" spans="1:11" ht="16.5" customHeight="1" thickBot="1" x14ac:dyDescent="0.3">
      <c r="A77" s="36" t="s">
        <v>27</v>
      </c>
      <c r="B77" s="37"/>
      <c r="C77" s="37"/>
      <c r="D77" s="38" t="s">
        <v>28</v>
      </c>
      <c r="E77" s="38"/>
      <c r="F77" s="38"/>
      <c r="G77" s="38"/>
      <c r="H77" s="38"/>
      <c r="I77" s="38" t="s">
        <v>29</v>
      </c>
      <c r="J77" s="38"/>
      <c r="K77" s="39"/>
    </row>
    <row r="78" spans="1:11" ht="16.5" customHeight="1" x14ac:dyDescent="0.25">
      <c r="A78" s="40"/>
      <c r="B78" s="41"/>
      <c r="C78" s="41"/>
      <c r="D78" s="41"/>
      <c r="E78" s="41"/>
      <c r="F78" s="41"/>
      <c r="G78" s="41"/>
      <c r="H78" s="41"/>
      <c r="I78" s="41"/>
      <c r="J78" s="41"/>
      <c r="K78" s="42"/>
    </row>
    <row r="79" spans="1:11" ht="16.5" customHeight="1" x14ac:dyDescent="0.25">
      <c r="A79" s="43"/>
      <c r="B79" s="44"/>
      <c r="C79" s="44"/>
      <c r="D79" s="44"/>
      <c r="E79" s="44"/>
      <c r="F79" s="44"/>
      <c r="G79" s="44"/>
      <c r="H79" s="44"/>
      <c r="I79" s="44"/>
      <c r="J79" s="44"/>
      <c r="K79" s="45"/>
    </row>
    <row r="80" spans="1:11" ht="16.5" customHeight="1" thickBot="1" x14ac:dyDescent="0.3">
      <c r="A80" s="46"/>
      <c r="B80" s="47"/>
      <c r="C80" s="47"/>
      <c r="D80" s="47"/>
      <c r="E80" s="47"/>
      <c r="F80" s="47"/>
      <c r="G80" s="47"/>
      <c r="H80" s="47"/>
      <c r="I80" s="47"/>
      <c r="J80" s="47"/>
      <c r="K80" s="48"/>
    </row>
    <row r="81" spans="1:11" ht="16.5" customHeight="1" thickBot="1" x14ac:dyDescent="0.3">
      <c r="A81" s="78" t="s">
        <v>25</v>
      </c>
      <c r="B81" s="79"/>
      <c r="C81" s="79"/>
      <c r="D81" s="79"/>
      <c r="E81" s="79"/>
      <c r="F81" s="79"/>
      <c r="G81" s="79"/>
      <c r="H81" s="79"/>
      <c r="I81" s="79"/>
      <c r="J81" s="79"/>
      <c r="K81" s="80"/>
    </row>
    <row r="82" spans="1:11" ht="16.5" customHeight="1" x14ac:dyDescent="0.25">
      <c r="A82" s="57">
        <v>1</v>
      </c>
      <c r="B82" s="9">
        <v>0</v>
      </c>
      <c r="C82" s="54">
        <v>150</v>
      </c>
      <c r="D82" s="54">
        <f>(C82*2001.9)/1000</f>
        <v>300.28500000000003</v>
      </c>
      <c r="E82" s="10">
        <f>E75</f>
        <v>8.3000000000000007</v>
      </c>
      <c r="F82" s="10">
        <f>F75</f>
        <v>8.5299999999999994</v>
      </c>
      <c r="G82" s="10">
        <f>G75</f>
        <v>8.27</v>
      </c>
      <c r="H82" s="10">
        <f>H75</f>
        <v>8.19</v>
      </c>
      <c r="I82" s="10">
        <f t="shared" si="0"/>
        <v>33.29</v>
      </c>
      <c r="J82" s="54">
        <f>(I86-I82)/4</f>
        <v>-2.7499999999998082E-2</v>
      </c>
      <c r="K82" s="51">
        <f>K75+J82</f>
        <v>8.2950000000000017</v>
      </c>
    </row>
    <row r="83" spans="1:11" ht="16.5" hidden="1" customHeight="1" x14ac:dyDescent="0.25">
      <c r="A83" s="58"/>
      <c r="B83" s="11">
        <v>15</v>
      </c>
      <c r="C83" s="55"/>
      <c r="D83" s="55"/>
      <c r="E83" s="12"/>
      <c r="F83" s="12"/>
      <c r="G83" s="12"/>
      <c r="H83" s="12"/>
      <c r="I83" s="12">
        <f t="shared" si="0"/>
        <v>0</v>
      </c>
      <c r="J83" s="55"/>
      <c r="K83" s="52"/>
    </row>
    <row r="84" spans="1:11" ht="16.5" hidden="1" customHeight="1" thickBot="1" x14ac:dyDescent="0.3">
      <c r="A84" s="58"/>
      <c r="B84" s="11">
        <v>30</v>
      </c>
      <c r="C84" s="55"/>
      <c r="D84" s="55"/>
      <c r="E84" s="12"/>
      <c r="F84" s="12"/>
      <c r="G84" s="12"/>
      <c r="H84" s="12"/>
      <c r="I84" s="12">
        <f t="shared" si="0"/>
        <v>0</v>
      </c>
      <c r="J84" s="55"/>
      <c r="K84" s="52"/>
    </row>
    <row r="85" spans="1:11" ht="16.5" hidden="1" customHeight="1" thickBot="1" x14ac:dyDescent="0.3">
      <c r="A85" s="58"/>
      <c r="B85" s="11">
        <v>30</v>
      </c>
      <c r="C85" s="55"/>
      <c r="D85" s="55"/>
      <c r="E85" s="12"/>
      <c r="F85" s="12"/>
      <c r="G85" s="12"/>
      <c r="H85" s="12"/>
      <c r="I85" s="12">
        <f t="shared" si="0"/>
        <v>0</v>
      </c>
      <c r="J85" s="55"/>
      <c r="K85" s="52"/>
    </row>
    <row r="86" spans="1:11" ht="16.5" customHeight="1" thickBot="1" x14ac:dyDescent="0.3">
      <c r="A86" s="59"/>
      <c r="B86" s="13">
        <v>15</v>
      </c>
      <c r="C86" s="56"/>
      <c r="D86" s="56"/>
      <c r="E86" s="14">
        <v>8.26</v>
      </c>
      <c r="F86" s="14">
        <v>8.52</v>
      </c>
      <c r="G86" s="14">
        <v>8.24</v>
      </c>
      <c r="H86" s="14">
        <v>8.16</v>
      </c>
      <c r="I86" s="14">
        <f t="shared" si="0"/>
        <v>33.180000000000007</v>
      </c>
      <c r="J86" s="56"/>
      <c r="K86" s="53"/>
    </row>
    <row r="87" spans="1:11" ht="16.5" customHeight="1" x14ac:dyDescent="0.25">
      <c r="A87" s="57">
        <v>2</v>
      </c>
      <c r="B87" s="9">
        <v>0</v>
      </c>
      <c r="C87" s="54">
        <v>135</v>
      </c>
      <c r="D87" s="54">
        <f t="shared" ref="D87" si="45">(C87*2001.9)/1000</f>
        <v>270.25650000000002</v>
      </c>
      <c r="E87" s="10">
        <f>E86</f>
        <v>8.26</v>
      </c>
      <c r="F87" s="10">
        <f>F86</f>
        <v>8.52</v>
      </c>
      <c r="G87" s="10">
        <f>G86</f>
        <v>8.24</v>
      </c>
      <c r="H87" s="10">
        <f>H86</f>
        <v>8.16</v>
      </c>
      <c r="I87" s="10">
        <f t="shared" si="0"/>
        <v>33.180000000000007</v>
      </c>
      <c r="J87" s="54">
        <f>(I91-I87)/4</f>
        <v>-2.7500000000001634E-2</v>
      </c>
      <c r="K87" s="51">
        <f>K82+J87</f>
        <v>8.2675000000000001</v>
      </c>
    </row>
    <row r="88" spans="1:11" ht="16.5" hidden="1" customHeight="1" x14ac:dyDescent="0.25">
      <c r="A88" s="58"/>
      <c r="B88" s="11">
        <v>15</v>
      </c>
      <c r="C88" s="55"/>
      <c r="D88" s="55"/>
      <c r="E88" s="12"/>
      <c r="F88" s="12"/>
      <c r="G88" s="12"/>
      <c r="H88" s="12"/>
      <c r="I88" s="12">
        <f t="shared" si="0"/>
        <v>0</v>
      </c>
      <c r="J88" s="55"/>
      <c r="K88" s="52"/>
    </row>
    <row r="89" spans="1:11" ht="16.5" hidden="1" customHeight="1" thickBot="1" x14ac:dyDescent="0.3">
      <c r="A89" s="58"/>
      <c r="B89" s="11">
        <v>30</v>
      </c>
      <c r="C89" s="55"/>
      <c r="D89" s="55"/>
      <c r="E89" s="12"/>
      <c r="F89" s="12"/>
      <c r="G89" s="12"/>
      <c r="H89" s="12"/>
      <c r="I89" s="12">
        <f t="shared" si="0"/>
        <v>0</v>
      </c>
      <c r="J89" s="55"/>
      <c r="K89" s="52"/>
    </row>
    <row r="90" spans="1:11" ht="16.5" hidden="1" customHeight="1" thickBot="1" x14ac:dyDescent="0.3">
      <c r="A90" s="58"/>
      <c r="B90" s="11">
        <v>45</v>
      </c>
      <c r="C90" s="55"/>
      <c r="D90" s="55"/>
      <c r="E90" s="12"/>
      <c r="F90" s="12"/>
      <c r="G90" s="12"/>
      <c r="H90" s="12"/>
      <c r="I90" s="12">
        <f t="shared" si="0"/>
        <v>0</v>
      </c>
      <c r="J90" s="55"/>
      <c r="K90" s="52"/>
    </row>
    <row r="91" spans="1:11" ht="16.5" customHeight="1" thickBot="1" x14ac:dyDescent="0.3">
      <c r="A91" s="59"/>
      <c r="B91" s="13">
        <v>15</v>
      </c>
      <c r="C91" s="56"/>
      <c r="D91" s="56"/>
      <c r="E91" s="14">
        <v>8.23</v>
      </c>
      <c r="F91" s="14">
        <v>8.5</v>
      </c>
      <c r="G91" s="14">
        <v>8.2100000000000009</v>
      </c>
      <c r="H91" s="14">
        <v>8.1300000000000008</v>
      </c>
      <c r="I91" s="14">
        <f t="shared" si="0"/>
        <v>33.07</v>
      </c>
      <c r="J91" s="56"/>
      <c r="K91" s="53"/>
    </row>
    <row r="92" spans="1:11" ht="16.5" customHeight="1" x14ac:dyDescent="0.25">
      <c r="A92" s="57">
        <v>3</v>
      </c>
      <c r="B92" s="9">
        <v>0</v>
      </c>
      <c r="C92" s="54">
        <v>120</v>
      </c>
      <c r="D92" s="54">
        <f t="shared" ref="D92" si="46">(C92*2001.9)/1000</f>
        <v>240.22800000000001</v>
      </c>
      <c r="E92" s="10">
        <f>E91</f>
        <v>8.23</v>
      </c>
      <c r="F92" s="10">
        <f>F91</f>
        <v>8.5</v>
      </c>
      <c r="G92" s="10">
        <f>G91</f>
        <v>8.2100000000000009</v>
      </c>
      <c r="H92" s="10">
        <f>H91</f>
        <v>8.1300000000000008</v>
      </c>
      <c r="I92" s="10">
        <f t="shared" si="0"/>
        <v>33.07</v>
      </c>
      <c r="J92" s="54">
        <f>(I96-I92)/4</f>
        <v>-2.2500000000000853E-2</v>
      </c>
      <c r="K92" s="51">
        <f>K87+J92</f>
        <v>8.2449999999999992</v>
      </c>
    </row>
    <row r="93" spans="1:11" ht="16.5" hidden="1" customHeight="1" x14ac:dyDescent="0.25">
      <c r="A93" s="58"/>
      <c r="B93" s="11">
        <v>15</v>
      </c>
      <c r="C93" s="55"/>
      <c r="D93" s="55"/>
      <c r="E93" s="12"/>
      <c r="F93" s="12"/>
      <c r="G93" s="12"/>
      <c r="H93" s="12"/>
      <c r="I93" s="12">
        <f t="shared" si="0"/>
        <v>0</v>
      </c>
      <c r="J93" s="55"/>
      <c r="K93" s="52"/>
    </row>
    <row r="94" spans="1:11" ht="16.5" hidden="1" customHeight="1" thickBot="1" x14ac:dyDescent="0.3">
      <c r="A94" s="58"/>
      <c r="B94" s="11">
        <v>30</v>
      </c>
      <c r="C94" s="55"/>
      <c r="D94" s="55"/>
      <c r="E94" s="12"/>
      <c r="F94" s="12"/>
      <c r="G94" s="12"/>
      <c r="H94" s="12"/>
      <c r="I94" s="12">
        <f t="shared" si="0"/>
        <v>0</v>
      </c>
      <c r="J94" s="55"/>
      <c r="K94" s="52"/>
    </row>
    <row r="95" spans="1:11" ht="16.5" hidden="1" customHeight="1" thickBot="1" x14ac:dyDescent="0.3">
      <c r="A95" s="58"/>
      <c r="B95" s="11">
        <v>45</v>
      </c>
      <c r="C95" s="55"/>
      <c r="D95" s="55"/>
      <c r="E95" s="12"/>
      <c r="F95" s="12"/>
      <c r="G95" s="12"/>
      <c r="H95" s="12"/>
      <c r="I95" s="12">
        <f t="shared" si="0"/>
        <v>0</v>
      </c>
      <c r="J95" s="55"/>
      <c r="K95" s="52"/>
    </row>
    <row r="96" spans="1:11" ht="16.5" customHeight="1" thickBot="1" x14ac:dyDescent="0.3">
      <c r="A96" s="59"/>
      <c r="B96" s="13">
        <v>15</v>
      </c>
      <c r="C96" s="56"/>
      <c r="D96" s="56"/>
      <c r="E96" s="14">
        <v>8.1999999999999993</v>
      </c>
      <c r="F96" s="14">
        <v>8.48</v>
      </c>
      <c r="G96" s="14">
        <v>8.19</v>
      </c>
      <c r="H96" s="14">
        <v>8.11</v>
      </c>
      <c r="I96" s="14">
        <f t="shared" si="0"/>
        <v>32.979999999999997</v>
      </c>
      <c r="J96" s="56"/>
      <c r="K96" s="53"/>
    </row>
    <row r="97" spans="1:11" ht="16.5" customHeight="1" x14ac:dyDescent="0.25">
      <c r="A97" s="57">
        <v>4</v>
      </c>
      <c r="B97" s="9">
        <v>0</v>
      </c>
      <c r="C97" s="54">
        <v>105</v>
      </c>
      <c r="D97" s="54">
        <f t="shared" ref="D97" si="47">(C97*2001.9)/1000</f>
        <v>210.1995</v>
      </c>
      <c r="E97" s="10">
        <f>E96</f>
        <v>8.1999999999999993</v>
      </c>
      <c r="F97" s="10">
        <f>F96</f>
        <v>8.48</v>
      </c>
      <c r="G97" s="10">
        <f>G96</f>
        <v>8.19</v>
      </c>
      <c r="H97" s="10">
        <f>H96</f>
        <v>8.11</v>
      </c>
      <c r="I97" s="10">
        <f t="shared" si="0"/>
        <v>32.979999999999997</v>
      </c>
      <c r="J97" s="54">
        <f>(I101-I97)/4</f>
        <v>-2.2499999999999076E-2</v>
      </c>
      <c r="K97" s="51">
        <f t="shared" ref="K97" si="48">K92+J97</f>
        <v>8.2225000000000001</v>
      </c>
    </row>
    <row r="98" spans="1:11" ht="16.5" hidden="1" customHeight="1" x14ac:dyDescent="0.25">
      <c r="A98" s="58"/>
      <c r="B98" s="11">
        <v>15</v>
      </c>
      <c r="C98" s="55"/>
      <c r="D98" s="55"/>
      <c r="E98" s="12"/>
      <c r="F98" s="12"/>
      <c r="G98" s="12"/>
      <c r="H98" s="12"/>
      <c r="I98" s="12">
        <f t="shared" si="0"/>
        <v>0</v>
      </c>
      <c r="J98" s="55"/>
      <c r="K98" s="52"/>
    </row>
    <row r="99" spans="1:11" ht="16.5" hidden="1" customHeight="1" thickBot="1" x14ac:dyDescent="0.3">
      <c r="A99" s="58"/>
      <c r="B99" s="11">
        <v>30</v>
      </c>
      <c r="C99" s="55"/>
      <c r="D99" s="55"/>
      <c r="E99" s="12"/>
      <c r="F99" s="12"/>
      <c r="G99" s="12"/>
      <c r="H99" s="12"/>
      <c r="I99" s="12">
        <f t="shared" si="0"/>
        <v>0</v>
      </c>
      <c r="J99" s="55"/>
      <c r="K99" s="52"/>
    </row>
    <row r="100" spans="1:11" ht="16.5" hidden="1" customHeight="1" thickBot="1" x14ac:dyDescent="0.3">
      <c r="A100" s="58"/>
      <c r="B100" s="11">
        <v>45</v>
      </c>
      <c r="C100" s="55"/>
      <c r="D100" s="55"/>
      <c r="E100" s="12"/>
      <c r="F100" s="12"/>
      <c r="G100" s="12"/>
      <c r="H100" s="12"/>
      <c r="I100" s="12">
        <f t="shared" si="0"/>
        <v>0</v>
      </c>
      <c r="J100" s="55"/>
      <c r="K100" s="52"/>
    </row>
    <row r="101" spans="1:11" ht="16.5" customHeight="1" thickBot="1" x14ac:dyDescent="0.3">
      <c r="A101" s="59"/>
      <c r="B101" s="13">
        <v>15</v>
      </c>
      <c r="C101" s="56"/>
      <c r="D101" s="56"/>
      <c r="E101" s="14">
        <v>8.17</v>
      </c>
      <c r="F101" s="14">
        <v>8.4600000000000009</v>
      </c>
      <c r="G101" s="14">
        <v>8.17</v>
      </c>
      <c r="H101" s="14">
        <v>8.09</v>
      </c>
      <c r="I101" s="14">
        <f t="shared" si="0"/>
        <v>32.89</v>
      </c>
      <c r="J101" s="56"/>
      <c r="K101" s="53"/>
    </row>
    <row r="102" spans="1:11" ht="16.5" customHeight="1" x14ac:dyDescent="0.25">
      <c r="A102" s="57">
        <v>5</v>
      </c>
      <c r="B102" s="9">
        <v>0</v>
      </c>
      <c r="C102" s="54">
        <v>90</v>
      </c>
      <c r="D102" s="54">
        <f t="shared" ref="D102" si="49">(C102*2001.9)/1000</f>
        <v>180.17099999999999</v>
      </c>
      <c r="E102" s="10">
        <f>E101</f>
        <v>8.17</v>
      </c>
      <c r="F102" s="10">
        <f>F101</f>
        <v>8.4600000000000009</v>
      </c>
      <c r="G102" s="10">
        <f>G101</f>
        <v>8.17</v>
      </c>
      <c r="H102" s="10">
        <f>H101</f>
        <v>8.09</v>
      </c>
      <c r="I102" s="10">
        <f t="shared" si="0"/>
        <v>32.89</v>
      </c>
      <c r="J102" s="54">
        <f>(I106-I102)/4</f>
        <v>-5.2500000000000213E-2</v>
      </c>
      <c r="K102" s="51">
        <f t="shared" ref="K102" si="50">K97+J102</f>
        <v>8.17</v>
      </c>
    </row>
    <row r="103" spans="1:11" ht="16.5" hidden="1" customHeight="1" x14ac:dyDescent="0.25">
      <c r="A103" s="58"/>
      <c r="B103" s="11">
        <v>15</v>
      </c>
      <c r="C103" s="55"/>
      <c r="D103" s="55"/>
      <c r="E103" s="12"/>
      <c r="F103" s="12"/>
      <c r="G103" s="12"/>
      <c r="H103" s="12"/>
      <c r="I103" s="12">
        <f t="shared" si="0"/>
        <v>0</v>
      </c>
      <c r="J103" s="55"/>
      <c r="K103" s="52"/>
    </row>
    <row r="104" spans="1:11" ht="16.5" hidden="1" customHeight="1" thickBot="1" x14ac:dyDescent="0.3">
      <c r="A104" s="58"/>
      <c r="B104" s="11">
        <v>30</v>
      </c>
      <c r="C104" s="55"/>
      <c r="D104" s="55"/>
      <c r="E104" s="12"/>
      <c r="F104" s="12"/>
      <c r="G104" s="12"/>
      <c r="H104" s="12"/>
      <c r="I104" s="12">
        <f t="shared" si="0"/>
        <v>0</v>
      </c>
      <c r="J104" s="55"/>
      <c r="K104" s="52"/>
    </row>
    <row r="105" spans="1:11" ht="16.5" hidden="1" customHeight="1" thickBot="1" x14ac:dyDescent="0.3">
      <c r="A105" s="58"/>
      <c r="B105" s="11">
        <v>45</v>
      </c>
      <c r="C105" s="55"/>
      <c r="D105" s="55"/>
      <c r="E105" s="12"/>
      <c r="F105" s="12"/>
      <c r="G105" s="12"/>
      <c r="H105" s="12"/>
      <c r="I105" s="12">
        <f t="shared" si="0"/>
        <v>0</v>
      </c>
      <c r="J105" s="55"/>
      <c r="K105" s="52"/>
    </row>
    <row r="106" spans="1:11" ht="16.5" customHeight="1" thickBot="1" x14ac:dyDescent="0.3">
      <c r="A106" s="59"/>
      <c r="B106" s="19">
        <v>15</v>
      </c>
      <c r="C106" s="56"/>
      <c r="D106" s="56"/>
      <c r="E106" s="14">
        <v>8.1199999999999992</v>
      </c>
      <c r="F106" s="14">
        <v>8.4</v>
      </c>
      <c r="G106" s="14">
        <v>8.1199999999999992</v>
      </c>
      <c r="H106" s="14">
        <v>8.0399999999999991</v>
      </c>
      <c r="I106" s="14">
        <f t="shared" si="0"/>
        <v>32.68</v>
      </c>
      <c r="J106" s="56"/>
      <c r="K106" s="53"/>
    </row>
    <row r="107" spans="1:11" ht="16.5" customHeight="1" x14ac:dyDescent="0.25">
      <c r="A107" s="57">
        <v>6</v>
      </c>
      <c r="B107" s="20">
        <v>0</v>
      </c>
      <c r="C107" s="63">
        <v>75</v>
      </c>
      <c r="D107" s="54">
        <f t="shared" ref="D107" si="51">(C107*2001.9)/1000</f>
        <v>150.14250000000001</v>
      </c>
      <c r="E107" s="10">
        <f>E106</f>
        <v>8.1199999999999992</v>
      </c>
      <c r="F107" s="10">
        <f>F106</f>
        <v>8.4</v>
      </c>
      <c r="G107" s="10">
        <f>G106</f>
        <v>8.1199999999999992</v>
      </c>
      <c r="H107" s="10">
        <f>H106</f>
        <v>8.0399999999999991</v>
      </c>
      <c r="I107" s="10">
        <f t="shared" ref="I107:I111" si="52">E107+F107+G107+H107</f>
        <v>32.68</v>
      </c>
      <c r="J107" s="54">
        <f>(I111-I107)/4</f>
        <v>-6.25E-2</v>
      </c>
      <c r="K107" s="51">
        <f t="shared" ref="K107" si="53">K102+J107</f>
        <v>8.1074999999999999</v>
      </c>
    </row>
    <row r="108" spans="1:11" ht="15.75" hidden="1" x14ac:dyDescent="0.25">
      <c r="A108" s="58"/>
      <c r="B108" s="21">
        <v>15</v>
      </c>
      <c r="C108" s="64"/>
      <c r="D108" s="55"/>
      <c r="E108" s="12"/>
      <c r="F108" s="12"/>
      <c r="G108" s="12"/>
      <c r="H108" s="12"/>
      <c r="I108" s="12"/>
      <c r="J108" s="55"/>
      <c r="K108" s="52"/>
    </row>
    <row r="109" spans="1:11" ht="15.75" hidden="1" x14ac:dyDescent="0.25">
      <c r="A109" s="58"/>
      <c r="B109" s="21">
        <v>30</v>
      </c>
      <c r="C109" s="64"/>
      <c r="D109" s="55"/>
      <c r="E109" s="12"/>
      <c r="F109" s="12"/>
      <c r="G109" s="12"/>
      <c r="H109" s="12"/>
      <c r="I109" s="12"/>
      <c r="J109" s="55"/>
      <c r="K109" s="52"/>
    </row>
    <row r="110" spans="1:11" ht="15.75" hidden="1" x14ac:dyDescent="0.25">
      <c r="A110" s="58"/>
      <c r="B110" s="21">
        <v>45</v>
      </c>
      <c r="C110" s="64"/>
      <c r="D110" s="55"/>
      <c r="E110" s="12"/>
      <c r="F110" s="12"/>
      <c r="G110" s="12"/>
      <c r="H110" s="12"/>
      <c r="I110" s="12"/>
      <c r="J110" s="55"/>
      <c r="K110" s="52"/>
    </row>
    <row r="111" spans="1:11" ht="16.5" thickBot="1" x14ac:dyDescent="0.3">
      <c r="A111" s="59"/>
      <c r="B111" s="22">
        <v>15</v>
      </c>
      <c r="C111" s="62"/>
      <c r="D111" s="56"/>
      <c r="E111" s="14">
        <v>8.06</v>
      </c>
      <c r="F111" s="14">
        <v>8.31</v>
      </c>
      <c r="G111" s="14">
        <v>8.0500000000000007</v>
      </c>
      <c r="H111" s="14">
        <v>8.01</v>
      </c>
      <c r="I111" s="14">
        <f t="shared" si="52"/>
        <v>32.43</v>
      </c>
      <c r="J111" s="56"/>
      <c r="K111" s="53"/>
    </row>
    <row r="112" spans="1:11" ht="15.75" x14ac:dyDescent="0.25">
      <c r="A112" s="57">
        <v>7</v>
      </c>
      <c r="B112" s="9">
        <v>0</v>
      </c>
      <c r="C112" s="54">
        <v>60</v>
      </c>
      <c r="D112" s="54">
        <f t="shared" ref="D112" si="54">(C112*2001.9)/1000</f>
        <v>120.114</v>
      </c>
      <c r="E112" s="10">
        <f t="shared" ref="E112" si="55">E111</f>
        <v>8.06</v>
      </c>
      <c r="F112" s="10">
        <f t="shared" ref="F112" si="56">F111</f>
        <v>8.31</v>
      </c>
      <c r="G112" s="10">
        <f t="shared" ref="G112" si="57">G111</f>
        <v>8.0500000000000007</v>
      </c>
      <c r="H112" s="10">
        <f t="shared" ref="H112" si="58">H111</f>
        <v>8.01</v>
      </c>
      <c r="I112" s="10">
        <f t="shared" ref="I112" si="59">E112+F112+G112+H112</f>
        <v>32.43</v>
      </c>
      <c r="J112" s="54">
        <f t="shared" ref="J112" si="60">(I116-I112)/4</f>
        <v>-8.4999999999999076E-2</v>
      </c>
      <c r="K112" s="51">
        <f t="shared" ref="K112:K142" si="61">K107+J112</f>
        <v>8.0225000000000009</v>
      </c>
    </row>
    <row r="113" spans="1:11" ht="15.75" hidden="1" x14ac:dyDescent="0.25">
      <c r="A113" s="58"/>
      <c r="B113" s="11">
        <v>15</v>
      </c>
      <c r="C113" s="55"/>
      <c r="D113" s="55"/>
      <c r="E113" s="12"/>
      <c r="F113" s="12"/>
      <c r="G113" s="12"/>
      <c r="H113" s="12"/>
      <c r="I113" s="12"/>
      <c r="J113" s="55"/>
      <c r="K113" s="52"/>
    </row>
    <row r="114" spans="1:11" ht="15.75" hidden="1" x14ac:dyDescent="0.25">
      <c r="A114" s="58"/>
      <c r="B114" s="11">
        <v>30</v>
      </c>
      <c r="C114" s="55"/>
      <c r="D114" s="55"/>
      <c r="E114" s="12"/>
      <c r="F114" s="12"/>
      <c r="G114" s="12"/>
      <c r="H114" s="12"/>
      <c r="I114" s="12"/>
      <c r="J114" s="55"/>
      <c r="K114" s="52"/>
    </row>
    <row r="115" spans="1:11" ht="15.75" hidden="1" x14ac:dyDescent="0.25">
      <c r="A115" s="58"/>
      <c r="B115" s="11">
        <v>45</v>
      </c>
      <c r="C115" s="55"/>
      <c r="D115" s="55"/>
      <c r="E115" s="12"/>
      <c r="F115" s="12"/>
      <c r="G115" s="12"/>
      <c r="H115" s="12"/>
      <c r="I115" s="12"/>
      <c r="J115" s="55"/>
      <c r="K115" s="52"/>
    </row>
    <row r="116" spans="1:11" ht="16.5" thickBot="1" x14ac:dyDescent="0.3">
      <c r="A116" s="59"/>
      <c r="B116" s="19">
        <v>15</v>
      </c>
      <c r="C116" s="56"/>
      <c r="D116" s="56"/>
      <c r="E116" s="14">
        <v>8.01</v>
      </c>
      <c r="F116" s="14">
        <v>8.2200000000000006</v>
      </c>
      <c r="G116" s="14">
        <v>7.95</v>
      </c>
      <c r="H116" s="14">
        <v>7.91</v>
      </c>
      <c r="I116" s="14">
        <f t="shared" ref="I116:I117" si="62">E116+F116+G116+H116</f>
        <v>32.090000000000003</v>
      </c>
      <c r="J116" s="56"/>
      <c r="K116" s="53"/>
    </row>
    <row r="117" spans="1:11" ht="15.75" x14ac:dyDescent="0.25">
      <c r="A117" s="57">
        <v>8</v>
      </c>
      <c r="B117" s="9">
        <v>0</v>
      </c>
      <c r="C117" s="54">
        <v>45</v>
      </c>
      <c r="D117" s="54">
        <f t="shared" ref="D117" si="63">(C117*2001.9)/1000</f>
        <v>90.085499999999996</v>
      </c>
      <c r="E117" s="10">
        <f t="shared" ref="E117" si="64">E116</f>
        <v>8.01</v>
      </c>
      <c r="F117" s="10">
        <f t="shared" ref="F117" si="65">F116</f>
        <v>8.2200000000000006</v>
      </c>
      <c r="G117" s="10">
        <f t="shared" ref="G117" si="66">G116</f>
        <v>7.95</v>
      </c>
      <c r="H117" s="10">
        <f t="shared" ref="H117" si="67">H116</f>
        <v>7.91</v>
      </c>
      <c r="I117" s="10">
        <f t="shared" si="62"/>
        <v>32.090000000000003</v>
      </c>
      <c r="J117" s="54">
        <f t="shared" ref="J117" si="68">(I121-I117)/4</f>
        <v>-0.1225000000000005</v>
      </c>
      <c r="K117" s="51">
        <f t="shared" si="61"/>
        <v>7.9</v>
      </c>
    </row>
    <row r="118" spans="1:11" ht="15.75" hidden="1" x14ac:dyDescent="0.25">
      <c r="A118" s="58"/>
      <c r="B118" s="11">
        <v>15</v>
      </c>
      <c r="C118" s="55"/>
      <c r="D118" s="55"/>
      <c r="E118" s="12"/>
      <c r="F118" s="12"/>
      <c r="G118" s="12"/>
      <c r="H118" s="12"/>
      <c r="I118" s="12"/>
      <c r="J118" s="55"/>
      <c r="K118" s="52"/>
    </row>
    <row r="119" spans="1:11" ht="15.75" hidden="1" x14ac:dyDescent="0.25">
      <c r="A119" s="58"/>
      <c r="B119" s="11">
        <v>30</v>
      </c>
      <c r="C119" s="55"/>
      <c r="D119" s="55"/>
      <c r="E119" s="12"/>
      <c r="F119" s="12"/>
      <c r="G119" s="12"/>
      <c r="H119" s="12"/>
      <c r="I119" s="12"/>
      <c r="J119" s="55"/>
      <c r="K119" s="52"/>
    </row>
    <row r="120" spans="1:11" ht="15.75" hidden="1" x14ac:dyDescent="0.25">
      <c r="A120" s="58"/>
      <c r="B120" s="11">
        <v>45</v>
      </c>
      <c r="C120" s="55"/>
      <c r="D120" s="55"/>
      <c r="E120" s="12"/>
      <c r="F120" s="12"/>
      <c r="G120" s="12"/>
      <c r="H120" s="12"/>
      <c r="I120" s="12"/>
      <c r="J120" s="55"/>
      <c r="K120" s="52"/>
    </row>
    <row r="121" spans="1:11" ht="16.5" thickBot="1" x14ac:dyDescent="0.3">
      <c r="A121" s="59"/>
      <c r="B121" s="19">
        <v>15</v>
      </c>
      <c r="C121" s="56"/>
      <c r="D121" s="56"/>
      <c r="E121" s="14">
        <v>7.92</v>
      </c>
      <c r="F121" s="14">
        <v>8.1</v>
      </c>
      <c r="G121" s="14">
        <v>7.8</v>
      </c>
      <c r="H121" s="14">
        <v>7.78</v>
      </c>
      <c r="I121" s="14">
        <f t="shared" ref="I121:I122" si="69">E121+F121+G121+H121</f>
        <v>31.6</v>
      </c>
      <c r="J121" s="56"/>
      <c r="K121" s="53"/>
    </row>
    <row r="122" spans="1:11" ht="15.75" x14ac:dyDescent="0.25">
      <c r="A122" s="57">
        <v>9</v>
      </c>
      <c r="B122" s="9">
        <v>0</v>
      </c>
      <c r="C122" s="54">
        <v>30</v>
      </c>
      <c r="D122" s="54">
        <f t="shared" ref="D122" si="70">(C122*2001.9)/1000</f>
        <v>60.057000000000002</v>
      </c>
      <c r="E122" s="10">
        <f t="shared" ref="E122" si="71">E121</f>
        <v>7.92</v>
      </c>
      <c r="F122" s="10">
        <f t="shared" ref="F122" si="72">F121</f>
        <v>8.1</v>
      </c>
      <c r="G122" s="10">
        <f t="shared" ref="G122" si="73">G121</f>
        <v>7.8</v>
      </c>
      <c r="H122" s="10">
        <f t="shared" ref="H122" si="74">H121</f>
        <v>7.78</v>
      </c>
      <c r="I122" s="10">
        <f t="shared" si="69"/>
        <v>31.6</v>
      </c>
      <c r="J122" s="54">
        <f t="shared" ref="J122" si="75">(I126-I122)/4</f>
        <v>-0.17999999999999972</v>
      </c>
      <c r="K122" s="51">
        <f t="shared" si="61"/>
        <v>7.7200000000000006</v>
      </c>
    </row>
    <row r="123" spans="1:11" ht="15.75" hidden="1" x14ac:dyDescent="0.25">
      <c r="A123" s="58"/>
      <c r="B123" s="11">
        <v>15</v>
      </c>
      <c r="C123" s="55"/>
      <c r="D123" s="55"/>
      <c r="E123" s="12"/>
      <c r="F123" s="12"/>
      <c r="G123" s="12"/>
      <c r="H123" s="12"/>
      <c r="I123" s="12"/>
      <c r="J123" s="55"/>
      <c r="K123" s="52"/>
    </row>
    <row r="124" spans="1:11" ht="15.75" hidden="1" x14ac:dyDescent="0.25">
      <c r="A124" s="58"/>
      <c r="B124" s="11">
        <v>30</v>
      </c>
      <c r="C124" s="55"/>
      <c r="D124" s="55"/>
      <c r="E124" s="12"/>
      <c r="F124" s="12"/>
      <c r="G124" s="12"/>
      <c r="H124" s="12"/>
      <c r="I124" s="12"/>
      <c r="J124" s="55"/>
      <c r="K124" s="52"/>
    </row>
    <row r="125" spans="1:11" ht="15.75" hidden="1" x14ac:dyDescent="0.25">
      <c r="A125" s="58"/>
      <c r="B125" s="11">
        <v>45</v>
      </c>
      <c r="C125" s="55"/>
      <c r="D125" s="55"/>
      <c r="E125" s="12"/>
      <c r="F125" s="12"/>
      <c r="G125" s="12"/>
      <c r="H125" s="12"/>
      <c r="I125" s="12"/>
      <c r="J125" s="55"/>
      <c r="K125" s="52"/>
    </row>
    <row r="126" spans="1:11" ht="16.5" thickBot="1" x14ac:dyDescent="0.3">
      <c r="A126" s="59"/>
      <c r="B126" s="19">
        <v>15</v>
      </c>
      <c r="C126" s="56"/>
      <c r="D126" s="56"/>
      <c r="E126" s="14">
        <v>7.7</v>
      </c>
      <c r="F126" s="14">
        <v>7.92</v>
      </c>
      <c r="G126" s="14">
        <v>7.61</v>
      </c>
      <c r="H126" s="14">
        <v>7.65</v>
      </c>
      <c r="I126" s="14">
        <f t="shared" ref="I126:I127" si="76">E126+F126+G126+H126</f>
        <v>30.880000000000003</v>
      </c>
      <c r="J126" s="56"/>
      <c r="K126" s="53"/>
    </row>
    <row r="127" spans="1:11" ht="15.75" x14ac:dyDescent="0.25">
      <c r="A127" s="57">
        <v>10</v>
      </c>
      <c r="B127" s="9">
        <v>0</v>
      </c>
      <c r="C127" s="54">
        <v>15</v>
      </c>
      <c r="D127" s="54">
        <f t="shared" ref="D127" si="77">(C127*2001.9)/1000</f>
        <v>30.028500000000001</v>
      </c>
      <c r="E127" s="10">
        <f t="shared" ref="E127" si="78">E126</f>
        <v>7.7</v>
      </c>
      <c r="F127" s="10">
        <f t="shared" ref="F127" si="79">F126</f>
        <v>7.92</v>
      </c>
      <c r="G127" s="10">
        <f t="shared" ref="G127" si="80">G126</f>
        <v>7.61</v>
      </c>
      <c r="H127" s="10">
        <f t="shared" ref="H127" si="81">H126</f>
        <v>7.65</v>
      </c>
      <c r="I127" s="10">
        <f t="shared" si="76"/>
        <v>30.880000000000003</v>
      </c>
      <c r="J127" s="54">
        <f t="shared" ref="J127" si="82">(I131-I127)/4</f>
        <v>-0.10250000000000092</v>
      </c>
      <c r="K127" s="51">
        <f t="shared" si="61"/>
        <v>7.6174999999999997</v>
      </c>
    </row>
    <row r="128" spans="1:11" ht="15.75" hidden="1" x14ac:dyDescent="0.25">
      <c r="A128" s="58"/>
      <c r="B128" s="11">
        <v>15</v>
      </c>
      <c r="C128" s="55"/>
      <c r="D128" s="55"/>
      <c r="E128" s="12"/>
      <c r="F128" s="12"/>
      <c r="G128" s="12"/>
      <c r="H128" s="12"/>
      <c r="I128" s="12"/>
      <c r="J128" s="55"/>
      <c r="K128" s="52"/>
    </row>
    <row r="129" spans="1:11" ht="15.75" hidden="1" x14ac:dyDescent="0.25">
      <c r="A129" s="58"/>
      <c r="B129" s="11">
        <v>30</v>
      </c>
      <c r="C129" s="55"/>
      <c r="D129" s="55"/>
      <c r="E129" s="12"/>
      <c r="F129" s="12"/>
      <c r="G129" s="12"/>
      <c r="H129" s="12"/>
      <c r="I129" s="12"/>
      <c r="J129" s="55"/>
      <c r="K129" s="52"/>
    </row>
    <row r="130" spans="1:11" ht="15.75" hidden="1" x14ac:dyDescent="0.25">
      <c r="A130" s="58"/>
      <c r="B130" s="11">
        <v>45</v>
      </c>
      <c r="C130" s="55"/>
      <c r="D130" s="55"/>
      <c r="E130" s="12"/>
      <c r="F130" s="12"/>
      <c r="G130" s="12"/>
      <c r="H130" s="12"/>
      <c r="I130" s="12"/>
      <c r="J130" s="55"/>
      <c r="K130" s="52"/>
    </row>
    <row r="131" spans="1:11" ht="16.5" thickBot="1" x14ac:dyDescent="0.3">
      <c r="A131" s="59"/>
      <c r="B131" s="19">
        <v>15</v>
      </c>
      <c r="C131" s="56"/>
      <c r="D131" s="56"/>
      <c r="E131" s="14">
        <v>7.6</v>
      </c>
      <c r="F131" s="14">
        <v>7.81</v>
      </c>
      <c r="G131" s="14">
        <v>7.52</v>
      </c>
      <c r="H131" s="14">
        <v>7.54</v>
      </c>
      <c r="I131" s="14">
        <f t="shared" ref="I131:I132" si="83">E131+F131+G131+H131</f>
        <v>30.47</v>
      </c>
      <c r="J131" s="56"/>
      <c r="K131" s="53"/>
    </row>
    <row r="132" spans="1:11" ht="16.5" thickBot="1" x14ac:dyDescent="0.3">
      <c r="A132" s="57">
        <v>11</v>
      </c>
      <c r="B132" s="9">
        <v>0</v>
      </c>
      <c r="C132" s="54">
        <v>0</v>
      </c>
      <c r="D132" s="54">
        <f t="shared" ref="D132" si="84">(C132*2001.9)/1000</f>
        <v>0</v>
      </c>
      <c r="E132" s="10">
        <f t="shared" ref="E132" si="85">E131</f>
        <v>7.6</v>
      </c>
      <c r="F132" s="10">
        <f t="shared" ref="F132" si="86">F131</f>
        <v>7.81</v>
      </c>
      <c r="G132" s="10">
        <f t="shared" ref="G132" si="87">G131</f>
        <v>7.52</v>
      </c>
      <c r="H132" s="10">
        <f t="shared" ref="H132" si="88">H131</f>
        <v>7.54</v>
      </c>
      <c r="I132" s="10">
        <f t="shared" si="83"/>
        <v>30.47</v>
      </c>
      <c r="J132" s="54">
        <f t="shared" ref="J132" si="89">(I136-I132)/4</f>
        <v>-0.57750000000000057</v>
      </c>
      <c r="K132" s="51">
        <f t="shared" si="61"/>
        <v>7.0399999999999991</v>
      </c>
    </row>
    <row r="133" spans="1:11" ht="16.5" hidden="1" thickBot="1" x14ac:dyDescent="0.3">
      <c r="A133" s="58"/>
      <c r="B133" s="11">
        <v>15</v>
      </c>
      <c r="C133" s="55"/>
      <c r="D133" s="55"/>
      <c r="E133" s="12"/>
      <c r="F133" s="12"/>
      <c r="G133" s="12"/>
      <c r="H133" s="12"/>
      <c r="I133" s="12"/>
      <c r="J133" s="55"/>
      <c r="K133" s="52"/>
    </row>
    <row r="134" spans="1:11" ht="16.5" hidden="1" thickBot="1" x14ac:dyDescent="0.3">
      <c r="A134" s="58"/>
      <c r="B134" s="11">
        <v>30</v>
      </c>
      <c r="C134" s="55"/>
      <c r="D134" s="55"/>
      <c r="E134" s="12"/>
      <c r="F134" s="12"/>
      <c r="G134" s="12"/>
      <c r="H134" s="12"/>
      <c r="I134" s="12"/>
      <c r="J134" s="55"/>
      <c r="K134" s="52"/>
    </row>
    <row r="135" spans="1:11" ht="16.5" hidden="1" thickBot="1" x14ac:dyDescent="0.3">
      <c r="A135" s="58"/>
      <c r="B135" s="19">
        <v>45</v>
      </c>
      <c r="C135" s="55"/>
      <c r="D135" s="55"/>
      <c r="E135" s="12"/>
      <c r="F135" s="12"/>
      <c r="G135" s="12"/>
      <c r="H135" s="12"/>
      <c r="I135" s="12"/>
      <c r="J135" s="55"/>
      <c r="K135" s="52"/>
    </row>
    <row r="136" spans="1:11" ht="16.5" thickBot="1" x14ac:dyDescent="0.3">
      <c r="A136" s="59"/>
      <c r="B136" s="33">
        <v>15</v>
      </c>
      <c r="C136" s="62"/>
      <c r="D136" s="56"/>
      <c r="E136" s="14">
        <v>7.02</v>
      </c>
      <c r="F136" s="14">
        <v>7.1</v>
      </c>
      <c r="G136" s="14">
        <v>7.05</v>
      </c>
      <c r="H136" s="14">
        <v>6.99</v>
      </c>
      <c r="I136" s="14">
        <f t="shared" ref="I136:I137" si="90">E136+F136+G136+H136</f>
        <v>28.159999999999997</v>
      </c>
      <c r="J136" s="56"/>
      <c r="K136" s="53"/>
    </row>
    <row r="137" spans="1:11" ht="15.75" hidden="1" x14ac:dyDescent="0.25">
      <c r="A137" s="57">
        <v>12</v>
      </c>
      <c r="C137" s="54"/>
      <c r="D137" s="54"/>
      <c r="E137" s="10">
        <f t="shared" ref="E137" si="91">E136</f>
        <v>7.02</v>
      </c>
      <c r="F137" s="10">
        <f t="shared" ref="F137" si="92">F136</f>
        <v>7.1</v>
      </c>
      <c r="G137" s="10">
        <f t="shared" ref="G137" si="93">G136</f>
        <v>7.05</v>
      </c>
      <c r="H137" s="10">
        <f t="shared" ref="H137" si="94">H136</f>
        <v>6.99</v>
      </c>
      <c r="I137" s="10">
        <f t="shared" si="90"/>
        <v>28.159999999999997</v>
      </c>
      <c r="J137" s="54">
        <f t="shared" ref="J137" si="95">(I141-I137)/4</f>
        <v>3.3900000000000006</v>
      </c>
      <c r="K137" s="51">
        <f t="shared" si="61"/>
        <v>10.43</v>
      </c>
    </row>
    <row r="138" spans="1:11" ht="15.75" hidden="1" x14ac:dyDescent="0.25">
      <c r="A138" s="58"/>
      <c r="C138" s="55"/>
      <c r="D138" s="55"/>
      <c r="E138" s="12"/>
      <c r="F138" s="12"/>
      <c r="G138" s="12"/>
      <c r="H138" s="12"/>
      <c r="I138" s="12"/>
      <c r="J138" s="55"/>
      <c r="K138" s="52"/>
    </row>
    <row r="139" spans="1:11" ht="15.75" hidden="1" x14ac:dyDescent="0.25">
      <c r="A139" s="58"/>
      <c r="C139" s="55"/>
      <c r="D139" s="55"/>
      <c r="E139" s="12"/>
      <c r="F139" s="12"/>
      <c r="G139" s="12"/>
      <c r="H139" s="12"/>
      <c r="I139" s="12"/>
      <c r="J139" s="55"/>
      <c r="K139" s="52"/>
    </row>
    <row r="140" spans="1:11" ht="15.75" hidden="1" x14ac:dyDescent="0.25">
      <c r="A140" s="58"/>
      <c r="C140" s="55"/>
      <c r="D140" s="55"/>
      <c r="E140" s="12"/>
      <c r="F140" s="12"/>
      <c r="G140" s="12"/>
      <c r="H140" s="12"/>
      <c r="I140" s="12"/>
      <c r="J140" s="55"/>
      <c r="K140" s="52"/>
    </row>
    <row r="141" spans="1:11" ht="16.5" hidden="1" thickBot="1" x14ac:dyDescent="0.3">
      <c r="A141" s="59"/>
      <c r="C141" s="56"/>
      <c r="D141" s="56"/>
      <c r="E141" s="14">
        <v>5.5</v>
      </c>
      <c r="F141" s="14">
        <v>11.9</v>
      </c>
      <c r="G141" s="14">
        <v>13.4</v>
      </c>
      <c r="H141" s="14">
        <v>10.92</v>
      </c>
      <c r="I141" s="14">
        <f t="shared" ref="I141:I142" si="96">E141+F141+G141+H141</f>
        <v>41.72</v>
      </c>
      <c r="J141" s="56"/>
      <c r="K141" s="53"/>
    </row>
    <row r="142" spans="1:11" ht="15.75" hidden="1" x14ac:dyDescent="0.25">
      <c r="A142" s="57">
        <v>13</v>
      </c>
      <c r="C142" s="54"/>
      <c r="D142" s="54"/>
      <c r="E142" s="10">
        <f t="shared" ref="E142" si="97">E141</f>
        <v>5.5</v>
      </c>
      <c r="F142" s="10">
        <f t="shared" ref="F142" si="98">F141</f>
        <v>11.9</v>
      </c>
      <c r="G142" s="10">
        <f t="shared" ref="G142" si="99">G141</f>
        <v>13.4</v>
      </c>
      <c r="H142" s="10">
        <f t="shared" ref="H142" si="100">H141</f>
        <v>10.92</v>
      </c>
      <c r="I142" s="10">
        <f t="shared" si="96"/>
        <v>41.72</v>
      </c>
      <c r="J142" s="54">
        <f>(I146-I142)/4</f>
        <v>-0.54749999999999943</v>
      </c>
      <c r="K142" s="51">
        <f t="shared" si="61"/>
        <v>9.8825000000000003</v>
      </c>
    </row>
    <row r="143" spans="1:11" ht="15.75" hidden="1" x14ac:dyDescent="0.25">
      <c r="A143" s="58"/>
      <c r="C143" s="55"/>
      <c r="D143" s="55"/>
      <c r="E143" s="12"/>
      <c r="F143" s="12"/>
      <c r="G143" s="12"/>
      <c r="H143" s="12"/>
      <c r="I143" s="12"/>
      <c r="J143" s="55"/>
      <c r="K143" s="52"/>
    </row>
    <row r="144" spans="1:11" ht="15.75" hidden="1" x14ac:dyDescent="0.25">
      <c r="A144" s="58"/>
      <c r="C144" s="55"/>
      <c r="D144" s="55"/>
      <c r="E144" s="12"/>
      <c r="F144" s="12"/>
      <c r="G144" s="12"/>
      <c r="H144" s="12"/>
      <c r="I144" s="12"/>
      <c r="J144" s="55"/>
      <c r="K144" s="52"/>
    </row>
    <row r="145" spans="1:11" ht="15.75" hidden="1" x14ac:dyDescent="0.25">
      <c r="A145" s="58"/>
      <c r="C145" s="55"/>
      <c r="D145" s="55"/>
      <c r="E145" s="12"/>
      <c r="F145" s="12"/>
      <c r="G145" s="12"/>
      <c r="H145" s="12"/>
      <c r="I145" s="12"/>
      <c r="J145" s="55"/>
      <c r="K145" s="52"/>
    </row>
    <row r="146" spans="1:11" ht="16.5" hidden="1" thickBot="1" x14ac:dyDescent="0.3">
      <c r="A146" s="59"/>
      <c r="C146" s="56"/>
      <c r="D146" s="56"/>
      <c r="E146" s="14">
        <v>5.01</v>
      </c>
      <c r="F146" s="14">
        <v>11.17</v>
      </c>
      <c r="G146" s="14">
        <v>13.05</v>
      </c>
      <c r="H146" s="14">
        <v>10.3</v>
      </c>
      <c r="I146" s="14">
        <f t="shared" ref="I146:I147" si="101">E146+F146+G146+H146</f>
        <v>39.53</v>
      </c>
      <c r="J146" s="56"/>
      <c r="K146" s="53"/>
    </row>
    <row r="147" spans="1:11" ht="15" hidden="1" customHeight="1" x14ac:dyDescent="0.25">
      <c r="A147" s="57">
        <v>14</v>
      </c>
      <c r="C147" s="54">
        <v>0</v>
      </c>
      <c r="D147" s="54">
        <f t="shared" ref="D147" si="102">(C147*706.9)/1000</f>
        <v>0</v>
      </c>
      <c r="E147" s="10">
        <f t="shared" ref="E147" si="103">E146</f>
        <v>5.01</v>
      </c>
      <c r="F147" s="10">
        <f t="shared" ref="F147" si="104">F146</f>
        <v>11.17</v>
      </c>
      <c r="G147" s="10">
        <f t="shared" ref="G147" si="105">G146</f>
        <v>13.05</v>
      </c>
      <c r="H147" s="10">
        <f t="shared" ref="H147" si="106">H146</f>
        <v>10.3</v>
      </c>
      <c r="I147" s="10">
        <f t="shared" si="101"/>
        <v>39.53</v>
      </c>
      <c r="J147" s="54">
        <f>(I151-I147)/4</f>
        <v>-5.91</v>
      </c>
      <c r="K147" s="51">
        <f t="shared" ref="K147" si="107">K142+J147</f>
        <v>3.9725000000000001</v>
      </c>
    </row>
    <row r="148" spans="1:11" ht="15" hidden="1" customHeight="1" x14ac:dyDescent="0.25">
      <c r="A148" s="58"/>
      <c r="C148" s="55"/>
      <c r="D148" s="55"/>
      <c r="E148" s="12"/>
      <c r="F148" s="12"/>
      <c r="G148" s="12"/>
      <c r="H148" s="12"/>
      <c r="I148" s="12"/>
      <c r="J148" s="55"/>
      <c r="K148" s="52"/>
    </row>
    <row r="149" spans="1:11" ht="15" hidden="1" customHeight="1" x14ac:dyDescent="0.25">
      <c r="A149" s="58"/>
      <c r="C149" s="55"/>
      <c r="D149" s="55"/>
      <c r="E149" s="12"/>
      <c r="F149" s="12"/>
      <c r="G149" s="12"/>
      <c r="H149" s="12"/>
      <c r="I149" s="12"/>
      <c r="J149" s="55"/>
      <c r="K149" s="52"/>
    </row>
    <row r="150" spans="1:11" ht="15" hidden="1" customHeight="1" x14ac:dyDescent="0.25">
      <c r="A150" s="58"/>
      <c r="C150" s="55"/>
      <c r="D150" s="55"/>
      <c r="E150" s="12"/>
      <c r="F150" s="12"/>
      <c r="G150" s="12"/>
      <c r="H150" s="12"/>
      <c r="I150" s="12"/>
      <c r="J150" s="55"/>
      <c r="K150" s="52"/>
    </row>
    <row r="151" spans="1:11" ht="15.75" hidden="1" customHeight="1" x14ac:dyDescent="0.25">
      <c r="A151" s="59"/>
      <c r="C151" s="56"/>
      <c r="D151" s="56"/>
      <c r="E151" s="14">
        <v>2.85</v>
      </c>
      <c r="F151" s="35">
        <v>1.38</v>
      </c>
      <c r="G151" s="35">
        <v>3.32</v>
      </c>
      <c r="H151" s="35">
        <v>8.34</v>
      </c>
      <c r="I151" s="35">
        <f t="shared" ref="I151" si="108">E151+F151+G151+H151</f>
        <v>15.89</v>
      </c>
      <c r="J151" s="60"/>
      <c r="K151" s="61"/>
    </row>
    <row r="152" spans="1:11" ht="15.75" customHeight="1" x14ac:dyDescent="0.25">
      <c r="A152" s="32"/>
      <c r="C152" s="25"/>
      <c r="D152" s="25"/>
      <c r="E152" s="25"/>
      <c r="F152" s="25"/>
      <c r="G152" s="25"/>
      <c r="H152" s="25"/>
      <c r="I152" s="25"/>
      <c r="J152" s="25"/>
      <c r="K152" s="34"/>
    </row>
    <row r="153" spans="1:11" ht="15" customHeight="1" x14ac:dyDescent="0.3">
      <c r="A153" s="49" t="s">
        <v>27</v>
      </c>
      <c r="B153" s="49"/>
      <c r="C153" s="49"/>
      <c r="D153" s="49"/>
      <c r="E153" s="49"/>
      <c r="F153" s="49" t="s">
        <v>28</v>
      </c>
      <c r="G153" s="49"/>
      <c r="H153" s="49"/>
      <c r="I153" s="49" t="s">
        <v>29</v>
      </c>
      <c r="J153" s="49"/>
      <c r="K153" s="49"/>
    </row>
    <row r="154" spans="1:11" ht="15" customHeight="1" x14ac:dyDescent="0.25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</row>
    <row r="155" spans="1:11" ht="15" customHeight="1" x14ac:dyDescent="0.2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</row>
    <row r="156" spans="1:11" ht="15" customHeight="1" x14ac:dyDescent="0.25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</row>
    <row r="157" spans="1:11" ht="15.75" customHeight="1" x14ac:dyDescent="0.25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</row>
  </sheetData>
  <mergeCells count="169">
    <mergeCell ref="A60:A64"/>
    <mergeCell ref="A65:A69"/>
    <mergeCell ref="D40:D44"/>
    <mergeCell ref="D45:D49"/>
    <mergeCell ref="D50:D54"/>
    <mergeCell ref="D55:D59"/>
    <mergeCell ref="D60:D64"/>
    <mergeCell ref="J70:J74"/>
    <mergeCell ref="K70:K74"/>
    <mergeCell ref="J65:J69"/>
    <mergeCell ref="K40:K44"/>
    <mergeCell ref="K45:K49"/>
    <mergeCell ref="K50:K54"/>
    <mergeCell ref="K55:K59"/>
    <mergeCell ref="K60:K64"/>
    <mergeCell ref="K65:K69"/>
    <mergeCell ref="J40:J44"/>
    <mergeCell ref="J45:J49"/>
    <mergeCell ref="J50:J54"/>
    <mergeCell ref="J55:J59"/>
    <mergeCell ref="J60:J64"/>
    <mergeCell ref="A9:K9"/>
    <mergeCell ref="N7:N8"/>
    <mergeCell ref="O7:O9"/>
    <mergeCell ref="P7:P9"/>
    <mergeCell ref="O10:O14"/>
    <mergeCell ref="P10:P14"/>
    <mergeCell ref="J10:J14"/>
    <mergeCell ref="E7:H7"/>
    <mergeCell ref="A7:A8"/>
    <mergeCell ref="B7:B8"/>
    <mergeCell ref="C7:C8"/>
    <mergeCell ref="D7:D8"/>
    <mergeCell ref="J15:J19"/>
    <mergeCell ref="J20:J24"/>
    <mergeCell ref="J25:J29"/>
    <mergeCell ref="J30:J34"/>
    <mergeCell ref="J35:J39"/>
    <mergeCell ref="K97:K101"/>
    <mergeCell ref="K102:K106"/>
    <mergeCell ref="K92:K96"/>
    <mergeCell ref="J92:J96"/>
    <mergeCell ref="J97:J101"/>
    <mergeCell ref="J102:J106"/>
    <mergeCell ref="K87:K91"/>
    <mergeCell ref="K82:K86"/>
    <mergeCell ref="K35:K39"/>
    <mergeCell ref="K30:K34"/>
    <mergeCell ref="K25:K29"/>
    <mergeCell ref="A81:K81"/>
    <mergeCell ref="J82:J86"/>
    <mergeCell ref="J87:J91"/>
    <mergeCell ref="A82:A86"/>
    <mergeCell ref="C82:C86"/>
    <mergeCell ref="D82:D86"/>
    <mergeCell ref="D65:D69"/>
    <mergeCell ref="C60:C64"/>
    <mergeCell ref="A1:K1"/>
    <mergeCell ref="E2:K2"/>
    <mergeCell ref="F3:K3"/>
    <mergeCell ref="F4:K4"/>
    <mergeCell ref="F5:K5"/>
    <mergeCell ref="F6:K6"/>
    <mergeCell ref="K7:K8"/>
    <mergeCell ref="B6:C6"/>
    <mergeCell ref="I7:I8"/>
    <mergeCell ref="J7:J8"/>
    <mergeCell ref="B2:C2"/>
    <mergeCell ref="B3:C3"/>
    <mergeCell ref="B4:C4"/>
    <mergeCell ref="B5:C5"/>
    <mergeCell ref="A102:A106"/>
    <mergeCell ref="C102:C106"/>
    <mergeCell ref="D102:D106"/>
    <mergeCell ref="A92:A96"/>
    <mergeCell ref="C92:C96"/>
    <mergeCell ref="D92:D96"/>
    <mergeCell ref="A97:A101"/>
    <mergeCell ref="C97:C101"/>
    <mergeCell ref="D97:D101"/>
    <mergeCell ref="C35:C39"/>
    <mergeCell ref="D35:D39"/>
    <mergeCell ref="A20:A24"/>
    <mergeCell ref="C20:C24"/>
    <mergeCell ref="D20:D24"/>
    <mergeCell ref="A25:A29"/>
    <mergeCell ref="C25:C29"/>
    <mergeCell ref="D25:D29"/>
    <mergeCell ref="A87:A91"/>
    <mergeCell ref="C87:C91"/>
    <mergeCell ref="D87:D91"/>
    <mergeCell ref="D30:D34"/>
    <mergeCell ref="C65:C69"/>
    <mergeCell ref="A40:A44"/>
    <mergeCell ref="C40:C44"/>
    <mergeCell ref="C45:C49"/>
    <mergeCell ref="C50:C54"/>
    <mergeCell ref="C55:C59"/>
    <mergeCell ref="A45:A49"/>
    <mergeCell ref="A50:A54"/>
    <mergeCell ref="A55:A59"/>
    <mergeCell ref="A70:A74"/>
    <mergeCell ref="C70:C74"/>
    <mergeCell ref="D70:D74"/>
    <mergeCell ref="A15:A19"/>
    <mergeCell ref="C10:C14"/>
    <mergeCell ref="D10:D14"/>
    <mergeCell ref="C15:C19"/>
    <mergeCell ref="D15:D19"/>
    <mergeCell ref="J107:J111"/>
    <mergeCell ref="K107:K111"/>
    <mergeCell ref="A112:A116"/>
    <mergeCell ref="A117:A121"/>
    <mergeCell ref="D112:D116"/>
    <mergeCell ref="D117:D121"/>
    <mergeCell ref="K112:K116"/>
    <mergeCell ref="K117:K121"/>
    <mergeCell ref="A107:A111"/>
    <mergeCell ref="C107:C111"/>
    <mergeCell ref="D107:D111"/>
    <mergeCell ref="A35:A39"/>
    <mergeCell ref="K20:K24"/>
    <mergeCell ref="K15:K19"/>
    <mergeCell ref="K10:K14"/>
    <mergeCell ref="A10:A14"/>
    <mergeCell ref="A30:A34"/>
    <mergeCell ref="C30:C34"/>
    <mergeCell ref="C112:C116"/>
    <mergeCell ref="C117:C121"/>
    <mergeCell ref="C122:C126"/>
    <mergeCell ref="C127:C131"/>
    <mergeCell ref="C132:C136"/>
    <mergeCell ref="C137:C141"/>
    <mergeCell ref="C142:C146"/>
    <mergeCell ref="F153:H153"/>
    <mergeCell ref="I153:K153"/>
    <mergeCell ref="J127:J131"/>
    <mergeCell ref="J132:J136"/>
    <mergeCell ref="J137:J141"/>
    <mergeCell ref="J142:J146"/>
    <mergeCell ref="A122:A126"/>
    <mergeCell ref="A127:A131"/>
    <mergeCell ref="A132:A136"/>
    <mergeCell ref="A137:A141"/>
    <mergeCell ref="A142:A146"/>
    <mergeCell ref="A77:C77"/>
    <mergeCell ref="D77:H77"/>
    <mergeCell ref="I77:K77"/>
    <mergeCell ref="A78:K80"/>
    <mergeCell ref="A153:E153"/>
    <mergeCell ref="A154:K157"/>
    <mergeCell ref="K122:K126"/>
    <mergeCell ref="K127:K131"/>
    <mergeCell ref="K132:K136"/>
    <mergeCell ref="K137:K141"/>
    <mergeCell ref="K142:K146"/>
    <mergeCell ref="C147:C151"/>
    <mergeCell ref="A147:A151"/>
    <mergeCell ref="J147:J151"/>
    <mergeCell ref="K147:K151"/>
    <mergeCell ref="D122:D126"/>
    <mergeCell ref="D127:D131"/>
    <mergeCell ref="D132:D136"/>
    <mergeCell ref="D137:D141"/>
    <mergeCell ref="D142:D146"/>
    <mergeCell ref="D147:D151"/>
    <mergeCell ref="J112:J116"/>
    <mergeCell ref="J117:J121"/>
    <mergeCell ref="J122:J126"/>
  </mergeCells>
  <phoneticPr fontId="2" type="noConversion"/>
  <pageMargins left="0.7" right="0.7" top="0.75" bottom="0.75" header="0.3" footer="0.3"/>
  <pageSetup paperSize="9" scale="55" orientation="portrait" r:id="rId1"/>
  <colBreaks count="1" manualBreakCount="1">
    <brk id="11" max="14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 2</dc:creator>
  <cp:lastModifiedBy>Shaikh Sohel</cp:lastModifiedBy>
  <cp:lastPrinted>2026-09-11T10:37:52Z</cp:lastPrinted>
  <dcterms:created xsi:type="dcterms:W3CDTF">2023-11-13T09:12:21Z</dcterms:created>
  <dcterms:modified xsi:type="dcterms:W3CDTF">2026-09-11T11:10:02Z</dcterms:modified>
</cp:coreProperties>
</file>