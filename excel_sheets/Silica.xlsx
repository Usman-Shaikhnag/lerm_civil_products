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2-6-26 TEST FORMATS FOR SOFTWARE\NIKITA\"/>
    </mc:Choice>
  </mc:AlternateContent>
  <xr:revisionPtr revIDLastSave="0" documentId="13_ncr:1_{D8EC1E77-D19C-4896-BFB6-644DE50F8CA4}" xr6:coauthVersionLast="47" xr6:coauthVersionMax="47" xr10:uidLastSave="{00000000-0000-0000-0000-000000000000}"/>
  <bookViews>
    <workbookView xWindow="-120" yWindow="-120" windowWidth="29040" windowHeight="15840" xr2:uid="{4124FCAE-780B-4B27-907B-909783A4B0E3}"/>
  </bookViews>
  <sheets>
    <sheet name="silica WET SIEVING 45 micron" sheetId="15" r:id="rId1"/>
    <sheet name="COMPRESSIVE STRENGTH OF SILICA" sheetId="23" r:id="rId2"/>
    <sheet name="SPECIFIC GRAVITY OF MIRCO SILIC" sheetId="24" r:id="rId3"/>
  </sheets>
  <definedNames>
    <definedName name="_xlnm.Print_Area" localSheetId="1">'COMPRESSIVE STRENGTH OF SILICA'!$A$1:$I$33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24" l="1"/>
  <c r="G14" i="24"/>
  <c r="I15" i="24"/>
  <c r="F15" i="24"/>
  <c r="I14" i="24"/>
  <c r="F14" i="24"/>
  <c r="F20" i="23"/>
  <c r="D20" i="23"/>
  <c r="F19" i="23"/>
  <c r="D19" i="23"/>
  <c r="H18" i="23"/>
  <c r="F18" i="23"/>
  <c r="D18" i="23"/>
  <c r="F17" i="23"/>
  <c r="D17" i="23"/>
  <c r="F16" i="23"/>
  <c r="D16" i="23"/>
  <c r="H15" i="23"/>
  <c r="F15" i="23"/>
  <c r="D15" i="23"/>
  <c r="F14" i="23"/>
  <c r="D14" i="23"/>
  <c r="F13" i="23"/>
  <c r="D13" i="23"/>
  <c r="H12" i="23"/>
  <c r="F12" i="23"/>
  <c r="D12" i="23"/>
  <c r="J16" i="15"/>
  <c r="H16" i="15"/>
  <c r="F16" i="15"/>
  <c r="G16" i="24" l="1"/>
  <c r="I16" i="24"/>
  <c r="F16" i="24"/>
  <c r="J17" i="15"/>
  <c r="H17" i="15"/>
  <c r="F17" i="15"/>
</calcChain>
</file>

<file path=xl/sharedStrings.xml><?xml version="1.0" encoding="utf-8"?>
<sst xmlns="http://schemas.openxmlformats.org/spreadsheetml/2006/main" count="79" uniqueCount="49">
  <si>
    <t>LAB NAME</t>
  </si>
  <si>
    <t>Laboratory Job No.</t>
  </si>
  <si>
    <t>Date of sample Received</t>
  </si>
  <si>
    <t>Type of Material</t>
  </si>
  <si>
    <t>Date of Testing</t>
  </si>
  <si>
    <t>Source/Location</t>
  </si>
  <si>
    <t>Sample ID</t>
  </si>
  <si>
    <t>Humidity</t>
  </si>
  <si>
    <t>Temperature</t>
  </si>
  <si>
    <t>Remarks :</t>
  </si>
  <si>
    <t>Test Done By</t>
  </si>
  <si>
    <t>Reviewed By</t>
  </si>
  <si>
    <t>Grade of Cement :</t>
  </si>
  <si>
    <t>Sr.
No</t>
  </si>
  <si>
    <t>Age in Days</t>
  </si>
  <si>
    <t>Weight (g)</t>
  </si>
  <si>
    <t>Density
(g/cc)</t>
  </si>
  <si>
    <t>Load at
Failure (kN)</t>
  </si>
  <si>
    <t>Size of Cube : 70.6 x 70.6 x 70.6</t>
  </si>
  <si>
    <t>Determination</t>
  </si>
  <si>
    <t>Trial No.</t>
  </si>
  <si>
    <t>Weight of Sample (Ws)</t>
  </si>
  <si>
    <t>Weight of Residue Retained (Wr)</t>
  </si>
  <si>
    <t>Weight of Material Passing (Ws - Wr)</t>
  </si>
  <si>
    <t>Type of Material :</t>
  </si>
  <si>
    <t>COMPRESSIVE STRENGTH OF MICRO SILICA</t>
  </si>
  <si>
    <t>SPECIFIC GRAVITY OF MICRO SILICA</t>
  </si>
  <si>
    <t>: M/s Make Infracon Material Testing Center</t>
  </si>
  <si>
    <t>Sample Weight (Ws) :</t>
  </si>
  <si>
    <t xml:space="preserve">                                                                                                                          Test Mix :</t>
  </si>
  <si>
    <t>Sieve Size Used : 45 Micron</t>
  </si>
  <si>
    <t>Wt of sand :                                                                                                       Wt of cement + Silica :</t>
  </si>
  <si>
    <t>Wt of Water : ( p/4+3.0 ) =                                                                                   P = Standard Consistency (%)</t>
  </si>
  <si>
    <t>Reaffirmed Year- 2018</t>
  </si>
  <si>
    <t>(IS:1727-1967)</t>
  </si>
  <si>
    <t>FINENESS OF SILICA FUME BY WET SIEVING ( 45 MICRON )</t>
  </si>
  <si>
    <t>(IS 1727-1967)</t>
  </si>
  <si>
    <t>Trial 1</t>
  </si>
  <si>
    <t>Trial 2</t>
  </si>
  <si>
    <t>Trial 3</t>
  </si>
  <si>
    <t>Percentage of Material Passing</t>
  </si>
  <si>
    <t>Compressive
Strength of
Individual
Sample (f1) in
(N/mm2)</t>
  </si>
  <si>
    <t>Average
Compressive
Strength (favg)
in (N/mm2)</t>
  </si>
  <si>
    <t>Initial Reading of Flask - V1 in ml</t>
  </si>
  <si>
    <t>Final  Reading of Flask - V2 in ml</t>
  </si>
  <si>
    <t>Weight of Equal Volume of water=(V2-V1)xSpecific gravity of Water</t>
  </si>
  <si>
    <t>Weight of Micro Silica Sample -W1 in gm</t>
  </si>
  <si>
    <t>Volume of Micro Silica - (V2-V1)</t>
  </si>
  <si>
    <t>Sp. Gravity of Micro Silica=W1/Weight of equal volume of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</si>
</sst>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9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/>
    <xf numFmtId="0" fontId="2" fillId="0" borderId="0" xfId="1" applyFont="1"/>
    <xf numFmtId="0" fontId="6" fillId="0" borderId="8" xfId="1" applyFont="1" applyBorder="1" applyAlignment="1">
      <alignment vertical="center"/>
    </xf>
    <xf numFmtId="0" fontId="7" fillId="0" borderId="0" xfId="1" applyFont="1" applyAlignment="1">
      <alignment vertical="center" wrapText="1"/>
    </xf>
    <xf numFmtId="0" fontId="7" fillId="0" borderId="0" xfId="1" applyFont="1"/>
    <xf numFmtId="0" fontId="7" fillId="0" borderId="5" xfId="1" applyFont="1" applyBorder="1"/>
    <xf numFmtId="0" fontId="7" fillId="0" borderId="0" xfId="1" quotePrefix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5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0" fontId="4" fillId="0" borderId="4" xfId="1" applyFont="1" applyBorder="1"/>
    <xf numFmtId="0" fontId="4" fillId="0" borderId="6" xfId="1" applyFont="1" applyBorder="1"/>
    <xf numFmtId="0" fontId="4" fillId="0" borderId="7" xfId="1" applyFont="1" applyBorder="1"/>
    <xf numFmtId="0" fontId="5" fillId="0" borderId="7" xfId="1" applyFont="1" applyBorder="1" applyAlignment="1">
      <alignment horizontal="center"/>
    </xf>
    <xf numFmtId="0" fontId="6" fillId="0" borderId="0" xfId="1" applyFont="1" applyAlignment="1">
      <alignment vertical="center"/>
    </xf>
    <xf numFmtId="0" fontId="8" fillId="0" borderId="4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4" fillId="0" borderId="8" xfId="1" applyFont="1" applyBorder="1" applyAlignment="1">
      <alignment horizontal="left" vertical="center"/>
    </xf>
    <xf numFmtId="0" fontId="6" fillId="0" borderId="8" xfId="1" applyFont="1" applyBorder="1" applyAlignment="1">
      <alignment horizontal="center" vertical="center"/>
    </xf>
    <xf numFmtId="0" fontId="2" fillId="0" borderId="8" xfId="1" applyFont="1" applyBorder="1" applyAlignment="1">
      <alignment horizontal="left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5" xfId="1" applyFont="1" applyBorder="1" applyAlignment="1">
      <alignment horizontal="center"/>
    </xf>
    <xf numFmtId="0" fontId="11" fillId="0" borderId="8" xfId="0" applyFont="1" applyBorder="1" applyAlignment="1">
      <alignment horizontal="center" vertical="center" wrapText="1"/>
    </xf>
    <xf numFmtId="0" fontId="4" fillId="0" borderId="8" xfId="1" applyFont="1" applyBorder="1" applyAlignment="1">
      <alignment horizontal="left" vertical="top"/>
    </xf>
    <xf numFmtId="0" fontId="6" fillId="0" borderId="8" xfId="1" applyFont="1" applyBorder="1" applyAlignment="1">
      <alignment horizontal="left" vertical="top"/>
    </xf>
    <xf numFmtId="0" fontId="4" fillId="0" borderId="4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4" fillId="0" borderId="5" xfId="1" applyFont="1" applyBorder="1" applyAlignment="1">
      <alignment horizontal="left" vertical="center" wrapText="1"/>
    </xf>
    <xf numFmtId="0" fontId="4" fillId="0" borderId="4" xfId="1" applyFont="1" applyBorder="1" applyAlignment="1">
      <alignment horizontal="left"/>
    </xf>
    <xf numFmtId="0" fontId="4" fillId="0" borderId="0" xfId="1" applyFont="1" applyAlignment="1">
      <alignment horizontal="left"/>
    </xf>
    <xf numFmtId="0" fontId="4" fillId="0" borderId="5" xfId="1" applyFont="1" applyBorder="1" applyAlignment="1">
      <alignment horizontal="left"/>
    </xf>
    <xf numFmtId="0" fontId="10" fillId="0" borderId="8" xfId="0" applyFont="1" applyBorder="1" applyAlignment="1">
      <alignment horizontal="left" vertical="center" wrapText="1"/>
    </xf>
    <xf numFmtId="0" fontId="9" fillId="0" borderId="8" xfId="1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5" fillId="0" borderId="0" xfId="1" applyFont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6" fillId="0" borderId="12" xfId="1" applyFont="1" applyBorder="1" applyAlignment="1">
      <alignment horizontal="center"/>
    </xf>
    <xf numFmtId="0" fontId="7" fillId="0" borderId="0" xfId="1" quotePrefix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/>
    </xf>
    <xf numFmtId="0" fontId="5" fillId="0" borderId="0" xfId="1" applyFont="1" applyAlignment="1">
      <alignment horizontal="left"/>
    </xf>
    <xf numFmtId="0" fontId="6" fillId="0" borderId="4" xfId="1" applyFont="1" applyBorder="1" applyAlignment="1">
      <alignment horizontal="left"/>
    </xf>
    <xf numFmtId="0" fontId="6" fillId="0" borderId="0" xfId="1" applyFont="1" applyAlignment="1">
      <alignment horizontal="left"/>
    </xf>
    <xf numFmtId="0" fontId="2" fillId="0" borderId="8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0" xfId="1" applyFont="1" applyAlignment="1">
      <alignment vertical="center"/>
    </xf>
    <xf numFmtId="0" fontId="8" fillId="0" borderId="9" xfId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 wrapText="1"/>
    </xf>
    <xf numFmtId="0" fontId="8" fillId="0" borderId="10" xfId="1" applyFont="1" applyBorder="1" applyAlignment="1">
      <alignment horizontal="left" vertical="center" wrapText="1"/>
    </xf>
    <xf numFmtId="0" fontId="8" fillId="0" borderId="4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2" fontId="9" fillId="0" borderId="9" xfId="1" applyNumberFormat="1" applyFont="1" applyBorder="1" applyAlignment="1">
      <alignment horizontal="center" vertical="center"/>
    </xf>
    <xf numFmtId="2" fontId="9" fillId="0" borderId="10" xfId="1" applyNumberFormat="1" applyFont="1" applyBorder="1" applyAlignment="1">
      <alignment horizontal="center" vertical="center"/>
    </xf>
    <xf numFmtId="2" fontId="9" fillId="0" borderId="9" xfId="1" applyNumberFormat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2" fontId="0" fillId="0" borderId="8" xfId="0" applyNumberFormat="1" applyBorder="1"/>
    <xf numFmtId="2" fontId="0" fillId="0" borderId="8" xfId="0" applyNumberFormat="1" applyBorder="1" applyAlignment="1">
      <alignment horizontal="center"/>
    </xf>
    <xf numFmtId="0" fontId="9" fillId="0" borderId="8" xfId="1" applyFont="1" applyBorder="1" applyAlignment="1">
      <alignment vertical="center"/>
    </xf>
    <xf numFmtId="0" fontId="8" fillId="0" borderId="8" xfId="1" applyFont="1" applyBorder="1" applyAlignment="1">
      <alignment horizontal="center" vertical="center"/>
    </xf>
    <xf numFmtId="2" fontId="8" fillId="0" borderId="8" xfId="1" applyNumberFormat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2" fontId="8" fillId="0" borderId="8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4F65BB52-134B-4362-B98B-7CFA63337F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17</xdr:row>
      <xdr:rowOff>9525</xdr:rowOff>
    </xdr:from>
    <xdr:to>
      <xdr:col>7</xdr:col>
      <xdr:colOff>419511</xdr:colOff>
      <xdr:row>18</xdr:row>
      <xdr:rowOff>295359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6EC27B-0E94-409A-AA2A-F88818F3E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0650" y="6410325"/>
          <a:ext cx="2943636" cy="6001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612F-AD52-4F8C-B3D7-66B60EDFD522}">
  <sheetPr>
    <tabColor rgb="FFFFC000"/>
  </sheetPr>
  <dimension ref="A1:J29"/>
  <sheetViews>
    <sheetView tabSelected="1" view="pageBreakPreview" zoomScale="115" zoomScaleNormal="100" zoomScaleSheetLayoutView="115" workbookViewId="0">
      <selection activeCell="N18" sqref="M18:N18"/>
    </sheetView>
  </sheetViews>
  <sheetFormatPr defaultRowHeight="15" x14ac:dyDescent="0.25"/>
  <cols>
    <col min="2" max="2" width="11.28515625" customWidth="1"/>
    <col min="3" max="3" width="8.140625" customWidth="1"/>
    <col min="4" max="5" width="5" customWidth="1"/>
    <col min="6" max="6" width="8.140625" customWidth="1"/>
    <col min="7" max="8" width="12" customWidth="1"/>
    <col min="9" max="9" width="7.5703125" customWidth="1"/>
    <col min="10" max="10" width="11" customWidth="1"/>
  </cols>
  <sheetData>
    <row r="1" spans="1:10" ht="15.75" x14ac:dyDescent="0.25">
      <c r="A1" s="30" t="s">
        <v>35</v>
      </c>
      <c r="B1" s="31"/>
      <c r="C1" s="31"/>
      <c r="D1" s="31"/>
      <c r="E1" s="31"/>
      <c r="F1" s="31"/>
      <c r="G1" s="31"/>
      <c r="H1" s="31"/>
      <c r="I1" s="31"/>
      <c r="J1" s="32"/>
    </row>
    <row r="2" spans="1:10" x14ac:dyDescent="0.25">
      <c r="A2" s="33" t="s">
        <v>36</v>
      </c>
      <c r="B2" s="34"/>
      <c r="C2" s="34"/>
      <c r="D2" s="34"/>
      <c r="E2" s="34"/>
      <c r="F2" s="34"/>
      <c r="G2" s="34"/>
      <c r="H2" s="34"/>
      <c r="I2" s="34"/>
      <c r="J2" s="35"/>
    </row>
    <row r="3" spans="1:10" ht="15.75" x14ac:dyDescent="0.25">
      <c r="A3" s="27" t="s">
        <v>33</v>
      </c>
      <c r="B3" s="28"/>
      <c r="C3" s="28"/>
      <c r="D3" s="28"/>
      <c r="E3" s="28"/>
      <c r="F3" s="28"/>
      <c r="G3" s="28"/>
      <c r="H3" s="28"/>
      <c r="I3" s="28"/>
      <c r="J3" s="29"/>
    </row>
    <row r="4" spans="1:10" ht="15.75" x14ac:dyDescent="0.25">
      <c r="A4" s="26" t="s">
        <v>0</v>
      </c>
      <c r="B4" s="26"/>
      <c r="C4" s="26" t="s">
        <v>27</v>
      </c>
      <c r="D4" s="26"/>
      <c r="E4" s="26"/>
      <c r="F4" s="26"/>
      <c r="G4" s="26"/>
      <c r="H4" s="26"/>
      <c r="I4" s="26"/>
      <c r="J4" s="26"/>
    </row>
    <row r="5" spans="1:10" ht="21" customHeight="1" x14ac:dyDescent="0.25">
      <c r="A5" s="24" t="s">
        <v>1</v>
      </c>
      <c r="B5" s="24"/>
      <c r="C5" s="25"/>
      <c r="D5" s="25"/>
      <c r="E5" s="25"/>
      <c r="F5" s="25"/>
      <c r="G5" s="24" t="s">
        <v>2</v>
      </c>
      <c r="H5" s="24"/>
      <c r="I5" s="25"/>
      <c r="J5" s="25"/>
    </row>
    <row r="6" spans="1:10" ht="21" customHeight="1" x14ac:dyDescent="0.25">
      <c r="A6" s="24" t="s">
        <v>3</v>
      </c>
      <c r="B6" s="24"/>
      <c r="C6" s="25"/>
      <c r="D6" s="25"/>
      <c r="E6" s="25"/>
      <c r="F6" s="25"/>
      <c r="G6" s="24" t="s">
        <v>4</v>
      </c>
      <c r="H6" s="24"/>
      <c r="I6" s="25"/>
      <c r="J6" s="25"/>
    </row>
    <row r="7" spans="1:10" ht="21" customHeight="1" x14ac:dyDescent="0.25">
      <c r="A7" s="24" t="s">
        <v>5</v>
      </c>
      <c r="B7" s="24"/>
      <c r="C7" s="25"/>
      <c r="D7" s="25"/>
      <c r="E7" s="25"/>
      <c r="F7" s="25"/>
      <c r="G7" s="24" t="s">
        <v>6</v>
      </c>
      <c r="H7" s="24"/>
      <c r="I7" s="25"/>
      <c r="J7" s="25"/>
    </row>
    <row r="8" spans="1:10" ht="21" customHeight="1" x14ac:dyDescent="0.25">
      <c r="A8" s="37" t="s">
        <v>7</v>
      </c>
      <c r="B8" s="37"/>
      <c r="C8" s="38"/>
      <c r="D8" s="38"/>
      <c r="E8" s="38"/>
      <c r="F8" s="38"/>
      <c r="G8" s="37" t="s">
        <v>8</v>
      </c>
      <c r="H8" s="37"/>
      <c r="I8" s="25"/>
      <c r="J8" s="25"/>
    </row>
    <row r="9" spans="1:10" ht="18" customHeight="1" x14ac:dyDescent="0.25">
      <c r="A9" s="39" t="s">
        <v>24</v>
      </c>
      <c r="B9" s="40"/>
      <c r="C9" s="40"/>
      <c r="D9" s="40"/>
      <c r="E9" s="40"/>
      <c r="F9" s="40"/>
      <c r="G9" s="40"/>
      <c r="H9" s="40"/>
      <c r="I9" s="40"/>
      <c r="J9" s="41"/>
    </row>
    <row r="10" spans="1:10" ht="18" customHeight="1" x14ac:dyDescent="0.25">
      <c r="A10" s="39" t="s">
        <v>28</v>
      </c>
      <c r="B10" s="40"/>
      <c r="C10" s="40"/>
      <c r="D10" s="40"/>
      <c r="E10" s="40"/>
      <c r="F10" s="40"/>
      <c r="G10" s="40"/>
      <c r="H10" s="40"/>
      <c r="I10" s="40"/>
      <c r="J10" s="41"/>
    </row>
    <row r="11" spans="1:10" ht="15.75" customHeight="1" x14ac:dyDescent="0.25">
      <c r="A11" s="39" t="s">
        <v>30</v>
      </c>
      <c r="B11" s="40"/>
      <c r="C11" s="40"/>
      <c r="D11" s="40"/>
      <c r="E11" s="40"/>
      <c r="F11" s="40"/>
      <c r="G11" s="40"/>
      <c r="H11" s="40"/>
      <c r="I11" s="40"/>
      <c r="J11" s="41"/>
    </row>
    <row r="12" spans="1:10" ht="16.5" customHeight="1" x14ac:dyDescent="0.25">
      <c r="A12" s="36" t="s">
        <v>19</v>
      </c>
      <c r="B12" s="36"/>
      <c r="C12" s="36"/>
      <c r="D12" s="36"/>
      <c r="E12" s="36"/>
      <c r="F12" s="72" t="s">
        <v>37</v>
      </c>
      <c r="G12" s="73"/>
      <c r="H12" s="72" t="s">
        <v>38</v>
      </c>
      <c r="I12" s="73"/>
      <c r="J12" s="74" t="s">
        <v>39</v>
      </c>
    </row>
    <row r="13" spans="1:10" ht="16.5" customHeight="1" x14ac:dyDescent="0.25">
      <c r="A13" s="36"/>
      <c r="B13" s="36"/>
      <c r="C13" s="36"/>
      <c r="D13" s="36"/>
      <c r="E13" s="36"/>
      <c r="F13" s="75"/>
      <c r="G13" s="76"/>
      <c r="H13" s="75"/>
      <c r="I13" s="76"/>
      <c r="J13" s="77"/>
    </row>
    <row r="14" spans="1:10" ht="22.5" customHeight="1" x14ac:dyDescent="0.25">
      <c r="A14" s="45" t="s">
        <v>21</v>
      </c>
      <c r="B14" s="45"/>
      <c r="C14" s="45"/>
      <c r="D14" s="45"/>
      <c r="E14" s="45"/>
      <c r="F14" s="78">
        <v>100</v>
      </c>
      <c r="G14" s="79"/>
      <c r="H14" s="78">
        <v>100</v>
      </c>
      <c r="I14" s="79"/>
      <c r="J14" s="80">
        <v>100</v>
      </c>
    </row>
    <row r="15" spans="1:10" ht="27.75" customHeight="1" x14ac:dyDescent="0.25">
      <c r="A15" s="45" t="s">
        <v>22</v>
      </c>
      <c r="B15" s="45"/>
      <c r="C15" s="45"/>
      <c r="D15" s="45"/>
      <c r="E15" s="45"/>
      <c r="F15" s="78">
        <v>96</v>
      </c>
      <c r="G15" s="79"/>
      <c r="H15" s="78">
        <v>96</v>
      </c>
      <c r="I15" s="79"/>
      <c r="J15" s="80">
        <v>96</v>
      </c>
    </row>
    <row r="16" spans="1:10" ht="27.75" customHeight="1" x14ac:dyDescent="0.25">
      <c r="A16" s="45" t="s">
        <v>23</v>
      </c>
      <c r="B16" s="45"/>
      <c r="C16" s="45"/>
      <c r="D16" s="45"/>
      <c r="E16" s="45"/>
      <c r="F16" s="78">
        <f>F14-F15</f>
        <v>4</v>
      </c>
      <c r="G16" s="79"/>
      <c r="H16" s="78">
        <f>H14-H15</f>
        <v>4</v>
      </c>
      <c r="I16" s="79"/>
      <c r="J16" s="80">
        <f>J14-J15</f>
        <v>4</v>
      </c>
    </row>
    <row r="17" spans="1:10" ht="27.75" customHeight="1" x14ac:dyDescent="0.25">
      <c r="A17" s="45" t="s">
        <v>40</v>
      </c>
      <c r="B17" s="45"/>
      <c r="C17" s="45"/>
      <c r="D17" s="45"/>
      <c r="E17" s="45"/>
      <c r="F17" s="78">
        <f>F16/F14*100</f>
        <v>4</v>
      </c>
      <c r="G17" s="79"/>
      <c r="H17" s="78">
        <f>H16/H14*100</f>
        <v>4</v>
      </c>
      <c r="I17" s="79"/>
      <c r="J17" s="80">
        <f>J16/J14*100</f>
        <v>4</v>
      </c>
    </row>
    <row r="18" spans="1:10" ht="24.75" customHeight="1" x14ac:dyDescent="0.25">
      <c r="A18" s="47"/>
      <c r="B18" s="47"/>
      <c r="C18" s="47"/>
      <c r="D18" s="47"/>
      <c r="E18" s="47"/>
      <c r="F18" s="47"/>
      <c r="G18" s="47"/>
      <c r="H18" s="47"/>
      <c r="I18" s="47"/>
      <c r="J18" s="47"/>
    </row>
    <row r="19" spans="1:10" ht="24.75" customHeight="1" x14ac:dyDescent="0.25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spans="1:10" ht="18.75" customHeight="1" x14ac:dyDescent="0.25">
      <c r="A20" s="42" t="s">
        <v>9</v>
      </c>
      <c r="B20" s="43"/>
      <c r="C20" s="43"/>
      <c r="D20" s="43"/>
      <c r="E20" s="43"/>
      <c r="F20" s="43"/>
      <c r="G20" s="43"/>
      <c r="H20" s="43"/>
      <c r="I20" s="43"/>
      <c r="J20" s="44"/>
    </row>
    <row r="21" spans="1:10" ht="14.25" customHeight="1" x14ac:dyDescent="0.25">
      <c r="G21" s="23"/>
    </row>
    <row r="22" spans="1:10" ht="14.25" customHeight="1" x14ac:dyDescent="0.25">
      <c r="A22" s="42"/>
      <c r="B22" s="43"/>
      <c r="C22" s="43"/>
      <c r="D22" s="43"/>
      <c r="E22" s="43"/>
      <c r="F22" s="43"/>
      <c r="G22" s="43"/>
      <c r="H22" s="43"/>
      <c r="I22" s="43"/>
      <c r="J22" s="44"/>
    </row>
    <row r="23" spans="1:10" ht="14.25" customHeight="1" x14ac:dyDescent="0.25">
      <c r="A23" s="1"/>
      <c r="B23" s="2"/>
      <c r="C23" s="6"/>
      <c r="D23" s="6"/>
      <c r="E23" s="9"/>
      <c r="F23" s="10"/>
      <c r="G23" s="10"/>
      <c r="H23" s="10"/>
      <c r="I23" s="10"/>
      <c r="J23" s="11"/>
    </row>
    <row r="24" spans="1:10" ht="14.25" customHeight="1" x14ac:dyDescent="0.25">
      <c r="A24" s="1"/>
      <c r="B24" s="2"/>
      <c r="C24" s="6"/>
      <c r="D24" s="6"/>
      <c r="E24" s="9"/>
      <c r="F24" s="10"/>
      <c r="G24" s="10"/>
      <c r="H24" s="10"/>
      <c r="I24" s="10"/>
      <c r="J24" s="11"/>
    </row>
    <row r="25" spans="1:10" ht="15.75" x14ac:dyDescent="0.25">
      <c r="A25" s="27"/>
      <c r="B25" s="28"/>
      <c r="C25" s="6"/>
      <c r="D25" s="6"/>
      <c r="E25" s="53"/>
      <c r="F25" s="54"/>
      <c r="G25" s="54"/>
      <c r="H25" s="54"/>
      <c r="I25" s="54"/>
      <c r="J25" s="55"/>
    </row>
    <row r="26" spans="1:10" x14ac:dyDescent="0.25">
      <c r="A26" s="56" t="s">
        <v>10</v>
      </c>
      <c r="B26" s="57"/>
      <c r="C26" s="6"/>
      <c r="D26" s="6"/>
      <c r="E26" s="12"/>
      <c r="F26" s="7"/>
      <c r="G26" s="7"/>
      <c r="H26" s="48" t="s">
        <v>11</v>
      </c>
      <c r="I26" s="48"/>
      <c r="J26" s="49"/>
    </row>
    <row r="27" spans="1:10" x14ac:dyDescent="0.25">
      <c r="A27" s="58"/>
      <c r="B27" s="59"/>
      <c r="C27" s="6"/>
      <c r="D27" s="6"/>
      <c r="E27" s="13"/>
      <c r="F27" s="7"/>
      <c r="G27" s="7"/>
      <c r="H27" s="7"/>
      <c r="I27" s="7"/>
      <c r="J27" s="8"/>
    </row>
    <row r="28" spans="1:10" ht="15.75" x14ac:dyDescent="0.25">
      <c r="A28" s="14"/>
      <c r="B28" s="3"/>
      <c r="C28" s="12"/>
      <c r="D28" s="12"/>
      <c r="E28" s="48"/>
      <c r="F28" s="48"/>
      <c r="G28" s="48"/>
      <c r="H28" s="48"/>
      <c r="I28" s="48"/>
      <c r="J28" s="49"/>
    </row>
    <row r="29" spans="1:10" ht="15.75" x14ac:dyDescent="0.25">
      <c r="A29" s="15"/>
      <c r="B29" s="16"/>
      <c r="C29" s="17"/>
      <c r="D29" s="17"/>
      <c r="E29" s="50"/>
      <c r="F29" s="50"/>
      <c r="G29" s="50"/>
      <c r="H29" s="51"/>
      <c r="I29" s="51"/>
      <c r="J29" s="52"/>
    </row>
  </sheetData>
  <mergeCells count="52">
    <mergeCell ref="F17:G17"/>
    <mergeCell ref="H17:I17"/>
    <mergeCell ref="E28:G28"/>
    <mergeCell ref="H28:J28"/>
    <mergeCell ref="E29:G29"/>
    <mergeCell ref="H29:J29"/>
    <mergeCell ref="A22:J22"/>
    <mergeCell ref="A25:B25"/>
    <mergeCell ref="E25:J25"/>
    <mergeCell ref="A26:B26"/>
    <mergeCell ref="H26:J26"/>
    <mergeCell ref="A27:B27"/>
    <mergeCell ref="A20:J20"/>
    <mergeCell ref="A14:E14"/>
    <mergeCell ref="A15:E15"/>
    <mergeCell ref="A16:E16"/>
    <mergeCell ref="A17:E17"/>
    <mergeCell ref="A18:J19"/>
    <mergeCell ref="F14:G14"/>
    <mergeCell ref="H14:I14"/>
    <mergeCell ref="F15:G15"/>
    <mergeCell ref="H15:I15"/>
    <mergeCell ref="F16:G16"/>
    <mergeCell ref="H16:I16"/>
    <mergeCell ref="A12:E13"/>
    <mergeCell ref="A7:B7"/>
    <mergeCell ref="C7:F7"/>
    <mergeCell ref="G7:H7"/>
    <mergeCell ref="A8:B8"/>
    <mergeCell ref="C8:F8"/>
    <mergeCell ref="G8:H8"/>
    <mergeCell ref="A9:J9"/>
    <mergeCell ref="A10:J10"/>
    <mergeCell ref="A11:J11"/>
    <mergeCell ref="I7:J7"/>
    <mergeCell ref="I8:J8"/>
    <mergeCell ref="F12:G13"/>
    <mergeCell ref="H12:I13"/>
    <mergeCell ref="J12:J13"/>
    <mergeCell ref="C4:J4"/>
    <mergeCell ref="A3:J3"/>
    <mergeCell ref="A1:J1"/>
    <mergeCell ref="A2:J2"/>
    <mergeCell ref="A4:B4"/>
    <mergeCell ref="A5:B5"/>
    <mergeCell ref="C5:F5"/>
    <mergeCell ref="G5:H5"/>
    <mergeCell ref="I5:J5"/>
    <mergeCell ref="A6:B6"/>
    <mergeCell ref="C6:F6"/>
    <mergeCell ref="G6:H6"/>
    <mergeCell ref="I6:J6"/>
  </mergeCells>
  <pageMargins left="0.7" right="0.7" top="0.75" bottom="0.75" header="0.3" footer="0.3"/>
  <pageSetup paperSize="9" scale="7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B8B4-2E79-4DD8-883E-D11D26D85542}">
  <sheetPr>
    <tabColor rgb="FFFFC000"/>
  </sheetPr>
  <dimension ref="A1:J33"/>
  <sheetViews>
    <sheetView view="pageBreakPreview" zoomScaleNormal="100" zoomScaleSheetLayoutView="100" workbookViewId="0">
      <selection activeCell="M11" sqref="M11"/>
    </sheetView>
  </sheetViews>
  <sheetFormatPr defaultRowHeight="15" x14ac:dyDescent="0.25"/>
  <cols>
    <col min="2" max="2" width="11.28515625" customWidth="1"/>
    <col min="3" max="3" width="10" customWidth="1"/>
    <col min="4" max="4" width="12.5703125" customWidth="1"/>
    <col min="5" max="5" width="10.7109375" customWidth="1"/>
    <col min="6" max="6" width="9.42578125" customWidth="1"/>
    <col min="7" max="7" width="11.42578125" customWidth="1"/>
    <col min="8" max="8" width="10.7109375" customWidth="1"/>
    <col min="9" max="9" width="15.28515625" customWidth="1"/>
  </cols>
  <sheetData>
    <row r="1" spans="1:10" ht="15.75" x14ac:dyDescent="0.25">
      <c r="A1" s="30" t="s">
        <v>25</v>
      </c>
      <c r="B1" s="31"/>
      <c r="C1" s="31"/>
      <c r="D1" s="31"/>
      <c r="E1" s="31"/>
      <c r="F1" s="31"/>
      <c r="G1" s="31"/>
      <c r="H1" s="31"/>
      <c r="I1" s="32"/>
    </row>
    <row r="2" spans="1:10" x14ac:dyDescent="0.25">
      <c r="A2" s="33" t="s">
        <v>34</v>
      </c>
      <c r="B2" s="34"/>
      <c r="C2" s="34"/>
      <c r="D2" s="34"/>
      <c r="E2" s="34"/>
      <c r="F2" s="34"/>
      <c r="G2" s="34"/>
      <c r="H2" s="34"/>
      <c r="I2" s="35"/>
    </row>
    <row r="3" spans="1:10" ht="15.75" x14ac:dyDescent="0.25">
      <c r="A3" s="27" t="s">
        <v>33</v>
      </c>
      <c r="B3" s="28"/>
      <c r="C3" s="28"/>
      <c r="D3" s="28"/>
      <c r="E3" s="28"/>
      <c r="F3" s="28"/>
      <c r="G3" s="28"/>
      <c r="H3" s="28"/>
      <c r="I3" s="29"/>
    </row>
    <row r="4" spans="1:10" ht="20.25" customHeight="1" x14ac:dyDescent="0.25">
      <c r="A4" s="60" t="s">
        <v>0</v>
      </c>
      <c r="B4" s="60"/>
      <c r="C4" s="60" t="s">
        <v>27</v>
      </c>
      <c r="D4" s="60"/>
      <c r="E4" s="60"/>
      <c r="F4" s="60"/>
      <c r="G4" s="60"/>
      <c r="H4" s="60"/>
      <c r="I4" s="60"/>
      <c r="J4" s="4"/>
    </row>
    <row r="5" spans="1:10" ht="21" customHeight="1" x14ac:dyDescent="0.25">
      <c r="A5" s="24" t="s">
        <v>1</v>
      </c>
      <c r="B5" s="24"/>
      <c r="C5" s="25"/>
      <c r="D5" s="25"/>
      <c r="E5" s="25"/>
      <c r="F5" s="25"/>
      <c r="G5" s="24" t="s">
        <v>2</v>
      </c>
      <c r="H5" s="24"/>
      <c r="I5" s="5"/>
      <c r="J5" s="18"/>
    </row>
    <row r="6" spans="1:10" ht="21" customHeight="1" x14ac:dyDescent="0.25">
      <c r="A6" s="24" t="s">
        <v>3</v>
      </c>
      <c r="B6" s="24"/>
      <c r="C6" s="25"/>
      <c r="D6" s="25"/>
      <c r="E6" s="25"/>
      <c r="F6" s="25"/>
      <c r="G6" s="24" t="s">
        <v>4</v>
      </c>
      <c r="H6" s="24"/>
      <c r="I6" s="5"/>
      <c r="J6" s="18"/>
    </row>
    <row r="7" spans="1:10" ht="21" customHeight="1" x14ac:dyDescent="0.25">
      <c r="A7" s="24" t="s">
        <v>5</v>
      </c>
      <c r="B7" s="24"/>
      <c r="C7" s="25"/>
      <c r="D7" s="25"/>
      <c r="E7" s="25"/>
      <c r="F7" s="25"/>
      <c r="G7" s="24" t="s">
        <v>6</v>
      </c>
      <c r="H7" s="24"/>
      <c r="I7" s="5"/>
      <c r="J7" s="18"/>
    </row>
    <row r="8" spans="1:10" ht="21" customHeight="1" x14ac:dyDescent="0.25">
      <c r="A8" s="24" t="s">
        <v>7</v>
      </c>
      <c r="B8" s="24"/>
      <c r="C8" s="61"/>
      <c r="D8" s="61"/>
      <c r="E8" s="61"/>
      <c r="F8" s="61"/>
      <c r="G8" s="24" t="s">
        <v>8</v>
      </c>
      <c r="H8" s="24"/>
      <c r="I8" s="5"/>
      <c r="J8" s="18"/>
    </row>
    <row r="9" spans="1:10" ht="18" customHeight="1" x14ac:dyDescent="0.25">
      <c r="A9" s="62" t="s">
        <v>31</v>
      </c>
      <c r="B9" s="63"/>
      <c r="C9" s="63"/>
      <c r="D9" s="63"/>
      <c r="E9" s="63"/>
      <c r="F9" s="63"/>
      <c r="G9" s="63"/>
      <c r="H9" s="63"/>
      <c r="I9" s="64"/>
    </row>
    <row r="10" spans="1:10" ht="15.75" customHeight="1" x14ac:dyDescent="0.25">
      <c r="A10" s="63" t="s">
        <v>29</v>
      </c>
      <c r="B10" s="63"/>
      <c r="C10" s="63"/>
      <c r="D10" s="63"/>
      <c r="E10" s="63"/>
      <c r="F10" s="63"/>
      <c r="G10" s="63"/>
      <c r="H10" s="63"/>
      <c r="I10" s="63"/>
    </row>
    <row r="11" spans="1:10" ht="75" customHeight="1" x14ac:dyDescent="0.25">
      <c r="A11" s="81" t="s">
        <v>13</v>
      </c>
      <c r="B11" s="81" t="s">
        <v>14</v>
      </c>
      <c r="C11" s="81" t="s">
        <v>15</v>
      </c>
      <c r="D11" s="81" t="s">
        <v>16</v>
      </c>
      <c r="E11" s="81" t="s">
        <v>17</v>
      </c>
      <c r="F11" s="82" t="s">
        <v>41</v>
      </c>
      <c r="G11" s="82"/>
      <c r="H11" s="82" t="s">
        <v>42</v>
      </c>
      <c r="I11" s="82"/>
    </row>
    <row r="12" spans="1:10" ht="18" customHeight="1" x14ac:dyDescent="0.25">
      <c r="A12" s="83">
        <v>1</v>
      </c>
      <c r="B12" s="84">
        <v>7</v>
      </c>
      <c r="C12" s="84">
        <v>185</v>
      </c>
      <c r="D12" s="85">
        <f>C12/(7.06*7.06*7.06)</f>
        <v>0.52572378411001064</v>
      </c>
      <c r="E12" s="84">
        <v>18</v>
      </c>
      <c r="F12" s="86">
        <f>E12*1000/(70.6*70.6)</f>
        <v>3.6112961343081165</v>
      </c>
      <c r="G12" s="86"/>
      <c r="H12" s="86">
        <f>AVERAGE(F12:G14)</f>
        <v>3.8119236973252342</v>
      </c>
      <c r="I12" s="86"/>
    </row>
    <row r="13" spans="1:10" ht="20.25" customHeight="1" x14ac:dyDescent="0.25">
      <c r="A13" s="83">
        <v>1</v>
      </c>
      <c r="B13" s="84">
        <v>7</v>
      </c>
      <c r="C13" s="84">
        <v>188</v>
      </c>
      <c r="D13" s="85">
        <f t="shared" ref="D13:D20" si="0">C13/(7.06*7.06*7.06)</f>
        <v>0.53424903466314588</v>
      </c>
      <c r="E13" s="84">
        <v>20</v>
      </c>
      <c r="F13" s="86">
        <f t="shared" ref="F13:F20" si="1">E13*1000/(70.6*70.6)</f>
        <v>4.0125512603423514</v>
      </c>
      <c r="G13" s="86"/>
      <c r="H13" s="86"/>
      <c r="I13" s="86"/>
    </row>
    <row r="14" spans="1:10" ht="20.25" customHeight="1" x14ac:dyDescent="0.25">
      <c r="A14" s="83">
        <v>1</v>
      </c>
      <c r="B14" s="84">
        <v>7</v>
      </c>
      <c r="C14" s="84">
        <v>190</v>
      </c>
      <c r="D14" s="85">
        <f t="shared" si="0"/>
        <v>0.53993253503190275</v>
      </c>
      <c r="E14" s="84">
        <v>19</v>
      </c>
      <c r="F14" s="86">
        <f t="shared" si="1"/>
        <v>3.8119236973252342</v>
      </c>
      <c r="G14" s="86"/>
      <c r="H14" s="86"/>
      <c r="I14" s="86"/>
    </row>
    <row r="15" spans="1:10" ht="20.25" customHeight="1" x14ac:dyDescent="0.25">
      <c r="A15" s="83">
        <v>1</v>
      </c>
      <c r="B15" s="84">
        <v>14</v>
      </c>
      <c r="C15" s="84">
        <v>186</v>
      </c>
      <c r="D15" s="85">
        <f t="shared" si="0"/>
        <v>0.52856553429438902</v>
      </c>
      <c r="E15" s="84">
        <v>24</v>
      </c>
      <c r="F15" s="86">
        <f t="shared" si="1"/>
        <v>4.8150615124108223</v>
      </c>
      <c r="G15" s="86"/>
      <c r="H15" s="86">
        <f t="shared" ref="H15" si="2">AVERAGE(F15:G17)</f>
        <v>5.0156890754279395</v>
      </c>
      <c r="I15" s="86"/>
    </row>
    <row r="16" spans="1:10" ht="20.25" customHeight="1" x14ac:dyDescent="0.25">
      <c r="A16" s="83">
        <v>1</v>
      </c>
      <c r="B16" s="84">
        <v>14</v>
      </c>
      <c r="C16" s="84">
        <v>189</v>
      </c>
      <c r="D16" s="85">
        <f t="shared" si="0"/>
        <v>0.53709078484752437</v>
      </c>
      <c r="E16" s="84">
        <v>26</v>
      </c>
      <c r="F16" s="86">
        <f t="shared" si="1"/>
        <v>5.2163166384450577</v>
      </c>
      <c r="G16" s="86"/>
      <c r="H16" s="86"/>
      <c r="I16" s="86"/>
    </row>
    <row r="17" spans="1:9" ht="20.25" customHeight="1" x14ac:dyDescent="0.25">
      <c r="A17" s="83">
        <v>1</v>
      </c>
      <c r="B17" s="84">
        <v>14</v>
      </c>
      <c r="C17" s="84">
        <v>191</v>
      </c>
      <c r="D17" s="85">
        <f t="shared" si="0"/>
        <v>0.54277428521628124</v>
      </c>
      <c r="E17" s="84">
        <v>25</v>
      </c>
      <c r="F17" s="86">
        <f t="shared" si="1"/>
        <v>5.0156890754279395</v>
      </c>
      <c r="G17" s="86"/>
      <c r="H17" s="86"/>
      <c r="I17" s="86"/>
    </row>
    <row r="18" spans="1:9" ht="20.25" customHeight="1" x14ac:dyDescent="0.25">
      <c r="A18" s="83">
        <v>1</v>
      </c>
      <c r="B18" s="84">
        <v>28</v>
      </c>
      <c r="C18" s="84">
        <v>187</v>
      </c>
      <c r="D18" s="85">
        <f t="shared" si="0"/>
        <v>0.53140728447876751</v>
      </c>
      <c r="E18" s="84">
        <v>30</v>
      </c>
      <c r="F18" s="86">
        <f t="shared" si="1"/>
        <v>6.0188268905135276</v>
      </c>
      <c r="G18" s="86"/>
      <c r="H18" s="86">
        <f t="shared" ref="H18" si="3">AVERAGE(F18:G20)</f>
        <v>6.2194544535306449</v>
      </c>
      <c r="I18" s="86"/>
    </row>
    <row r="19" spans="1:9" ht="20.25" customHeight="1" x14ac:dyDescent="0.25">
      <c r="A19" s="83">
        <v>1</v>
      </c>
      <c r="B19" s="84">
        <v>28</v>
      </c>
      <c r="C19" s="84">
        <v>190</v>
      </c>
      <c r="D19" s="85">
        <f t="shared" si="0"/>
        <v>0.53993253503190275</v>
      </c>
      <c r="E19" s="84">
        <v>32</v>
      </c>
      <c r="F19" s="86">
        <f t="shared" si="1"/>
        <v>6.420082016547763</v>
      </c>
      <c r="G19" s="86"/>
      <c r="H19" s="86"/>
      <c r="I19" s="86"/>
    </row>
    <row r="20" spans="1:9" ht="18.75" customHeight="1" x14ac:dyDescent="0.25">
      <c r="A20" s="83">
        <v>1</v>
      </c>
      <c r="B20" s="84">
        <v>28</v>
      </c>
      <c r="C20" s="84">
        <v>192</v>
      </c>
      <c r="D20" s="85">
        <f t="shared" si="0"/>
        <v>0.54561603540065962</v>
      </c>
      <c r="E20" s="84">
        <v>31</v>
      </c>
      <c r="F20" s="86">
        <f t="shared" si="1"/>
        <v>6.2194544535306457</v>
      </c>
      <c r="G20" s="86"/>
      <c r="H20" s="86"/>
      <c r="I20" s="86"/>
    </row>
    <row r="21" spans="1:9" ht="18.75" customHeight="1" x14ac:dyDescent="0.25">
      <c r="A21" s="65" t="s">
        <v>32</v>
      </c>
      <c r="B21" s="65"/>
      <c r="C21" s="65"/>
      <c r="D21" s="65"/>
      <c r="E21" s="65"/>
      <c r="F21" s="65"/>
      <c r="G21" s="65"/>
      <c r="H21" s="65"/>
      <c r="I21" s="65"/>
    </row>
    <row r="22" spans="1:9" ht="18.75" customHeight="1" x14ac:dyDescent="0.25">
      <c r="A22" s="65" t="s">
        <v>18</v>
      </c>
      <c r="B22" s="65"/>
      <c r="C22" s="65"/>
      <c r="D22" s="65"/>
      <c r="E22" s="65"/>
      <c r="F22" s="65"/>
      <c r="G22" s="65" t="s">
        <v>12</v>
      </c>
      <c r="H22" s="65"/>
      <c r="I22" s="65"/>
    </row>
    <row r="23" spans="1:9" ht="18" customHeight="1" x14ac:dyDescent="0.25">
      <c r="A23" s="19"/>
      <c r="B23" s="20"/>
      <c r="C23" s="20"/>
      <c r="D23" s="20"/>
      <c r="E23" s="20"/>
      <c r="F23" s="20"/>
      <c r="G23" s="20"/>
      <c r="H23" s="20"/>
      <c r="I23" s="21"/>
    </row>
    <row r="24" spans="1:9" ht="18.75" customHeight="1" x14ac:dyDescent="0.25">
      <c r="A24" s="62" t="s">
        <v>9</v>
      </c>
      <c r="B24" s="63"/>
      <c r="C24" s="63"/>
      <c r="D24" s="63"/>
      <c r="E24" s="63"/>
      <c r="F24" s="63"/>
      <c r="G24" s="63"/>
      <c r="H24" s="63"/>
      <c r="I24" s="64"/>
    </row>
    <row r="26" spans="1:9" ht="15.75" x14ac:dyDescent="0.25">
      <c r="A26" s="1"/>
      <c r="B26" s="2"/>
      <c r="C26" s="6"/>
      <c r="D26" s="6"/>
      <c r="E26" s="9"/>
      <c r="F26" s="10"/>
      <c r="G26" s="10"/>
      <c r="H26" s="10"/>
      <c r="I26" s="11"/>
    </row>
    <row r="27" spans="1:9" ht="15.75" x14ac:dyDescent="0.25">
      <c r="A27" s="1"/>
      <c r="B27" s="2"/>
      <c r="C27" s="6"/>
      <c r="D27" s="6"/>
      <c r="E27" s="9"/>
      <c r="F27" s="10"/>
      <c r="G27" s="10"/>
      <c r="H27" s="10"/>
      <c r="I27" s="11"/>
    </row>
    <row r="28" spans="1:9" ht="15.75" x14ac:dyDescent="0.25">
      <c r="A28" s="1"/>
      <c r="B28" s="2"/>
      <c r="C28" s="6"/>
      <c r="D28" s="6"/>
      <c r="E28" s="9"/>
      <c r="F28" s="10"/>
      <c r="G28" s="10"/>
      <c r="H28" s="10"/>
      <c r="I28" s="11"/>
    </row>
    <row r="29" spans="1:9" ht="15.75" x14ac:dyDescent="0.25">
      <c r="A29" s="27"/>
      <c r="B29" s="28"/>
      <c r="C29" s="6"/>
      <c r="D29" s="6"/>
      <c r="E29" s="53"/>
      <c r="F29" s="54"/>
      <c r="G29" s="54"/>
      <c r="H29" s="54"/>
      <c r="I29" s="55"/>
    </row>
    <row r="30" spans="1:9" x14ac:dyDescent="0.25">
      <c r="A30" s="56" t="s">
        <v>10</v>
      </c>
      <c r="B30" s="57"/>
      <c r="C30" s="6"/>
      <c r="D30" s="6"/>
      <c r="E30" s="12"/>
      <c r="F30" s="7"/>
      <c r="G30" s="7"/>
      <c r="H30" s="48" t="s">
        <v>11</v>
      </c>
      <c r="I30" s="49"/>
    </row>
    <row r="31" spans="1:9" x14ac:dyDescent="0.25">
      <c r="A31" s="58"/>
      <c r="B31" s="59"/>
      <c r="C31" s="6"/>
      <c r="D31" s="6"/>
      <c r="E31" s="13"/>
      <c r="F31" s="7"/>
      <c r="G31" s="7"/>
      <c r="H31" s="7"/>
      <c r="I31" s="8"/>
    </row>
    <row r="32" spans="1:9" ht="15.75" x14ac:dyDescent="0.25">
      <c r="A32" s="14"/>
      <c r="B32" s="3"/>
      <c r="C32" s="12"/>
      <c r="D32" s="12"/>
      <c r="E32" s="48"/>
      <c r="F32" s="48"/>
      <c r="G32" s="48"/>
      <c r="H32" s="48"/>
      <c r="I32" s="49"/>
    </row>
    <row r="33" spans="1:9" ht="15.75" x14ac:dyDescent="0.25">
      <c r="A33" s="15"/>
      <c r="B33" s="16"/>
      <c r="C33" s="17"/>
      <c r="D33" s="17"/>
      <c r="E33" s="50"/>
      <c r="F33" s="50"/>
      <c r="G33" s="50"/>
      <c r="H33" s="51"/>
      <c r="I33" s="52"/>
    </row>
  </sheetData>
  <mergeCells count="45">
    <mergeCell ref="E32:G32"/>
    <mergeCell ref="H32:I32"/>
    <mergeCell ref="E33:G33"/>
    <mergeCell ref="H33:I33"/>
    <mergeCell ref="A24:I24"/>
    <mergeCell ref="A29:B29"/>
    <mergeCell ref="E29:I29"/>
    <mergeCell ref="A30:B30"/>
    <mergeCell ref="H30:I30"/>
    <mergeCell ref="A31:B31"/>
    <mergeCell ref="A22:I22"/>
    <mergeCell ref="F16:G16"/>
    <mergeCell ref="F17:G17"/>
    <mergeCell ref="F18:G18"/>
    <mergeCell ref="F19:G19"/>
    <mergeCell ref="F20:G20"/>
    <mergeCell ref="A21:I21"/>
    <mergeCell ref="H15:I17"/>
    <mergeCell ref="H18:I20"/>
    <mergeCell ref="F13:G13"/>
    <mergeCell ref="F14:G14"/>
    <mergeCell ref="F15:G15"/>
    <mergeCell ref="H12:I14"/>
    <mergeCell ref="A6:B6"/>
    <mergeCell ref="C6:F6"/>
    <mergeCell ref="G6:H6"/>
    <mergeCell ref="C4:I4"/>
    <mergeCell ref="F12:G12"/>
    <mergeCell ref="A7:B7"/>
    <mergeCell ref="C7:F7"/>
    <mergeCell ref="G7:H7"/>
    <mergeCell ref="A8:B8"/>
    <mergeCell ref="C8:F8"/>
    <mergeCell ref="G8:H8"/>
    <mergeCell ref="A9:I9"/>
    <mergeCell ref="A10:I10"/>
    <mergeCell ref="F11:G11"/>
    <mergeCell ref="H11:I11"/>
    <mergeCell ref="A3:I3"/>
    <mergeCell ref="A1:I1"/>
    <mergeCell ref="A2:I2"/>
    <mergeCell ref="A4:B4"/>
    <mergeCell ref="A5:B5"/>
    <mergeCell ref="C5:F5"/>
    <mergeCell ref="G5:H5"/>
  </mergeCells>
  <pageMargins left="0.7" right="0.7" top="0.75" bottom="0.75" header="0.3" footer="0.3"/>
  <pageSetup paperSize="9" scale="8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850AB-CF71-4E91-B4C8-E2D2F1A638D1}">
  <sheetPr>
    <tabColor rgb="FF7030A0"/>
  </sheetPr>
  <dimension ref="A1:I27"/>
  <sheetViews>
    <sheetView view="pageBreakPreview" zoomScale="115" zoomScaleNormal="100" zoomScaleSheetLayoutView="115" workbookViewId="0">
      <selection activeCell="M16" sqref="M16"/>
    </sheetView>
  </sheetViews>
  <sheetFormatPr defaultRowHeight="15" x14ac:dyDescent="0.25"/>
  <cols>
    <col min="2" max="2" width="11.28515625" customWidth="1"/>
    <col min="3" max="5" width="5.42578125" customWidth="1"/>
    <col min="6" max="6" width="18" customWidth="1"/>
    <col min="7" max="7" width="11.140625" customWidth="1"/>
    <col min="8" max="8" width="9.28515625" customWidth="1"/>
    <col min="9" max="9" width="16.85546875" customWidth="1"/>
  </cols>
  <sheetData>
    <row r="1" spans="1:9" ht="15.75" x14ac:dyDescent="0.25">
      <c r="A1" s="30" t="s">
        <v>26</v>
      </c>
      <c r="B1" s="31"/>
      <c r="C1" s="31"/>
      <c r="D1" s="31"/>
      <c r="E1" s="31"/>
      <c r="F1" s="31"/>
      <c r="G1" s="31"/>
      <c r="H1" s="31"/>
      <c r="I1" s="32"/>
    </row>
    <row r="2" spans="1:9" x14ac:dyDescent="0.25">
      <c r="A2" s="33" t="s">
        <v>34</v>
      </c>
      <c r="B2" s="34"/>
      <c r="C2" s="34"/>
      <c r="D2" s="34"/>
      <c r="E2" s="34"/>
      <c r="F2" s="34"/>
      <c r="G2" s="34"/>
      <c r="H2" s="34"/>
      <c r="I2" s="35"/>
    </row>
    <row r="3" spans="1:9" ht="15.75" x14ac:dyDescent="0.25">
      <c r="A3" s="27" t="s">
        <v>33</v>
      </c>
      <c r="B3" s="28"/>
      <c r="C3" s="28"/>
      <c r="D3" s="28"/>
      <c r="E3" s="28"/>
      <c r="F3" s="28"/>
      <c r="G3" s="28"/>
      <c r="H3" s="28"/>
      <c r="I3" s="29"/>
    </row>
    <row r="4" spans="1:9" ht="15.75" x14ac:dyDescent="0.25">
      <c r="A4" s="60" t="s">
        <v>0</v>
      </c>
      <c r="B4" s="60"/>
      <c r="C4" s="60" t="s">
        <v>27</v>
      </c>
      <c r="D4" s="60"/>
      <c r="E4" s="60"/>
      <c r="F4" s="60"/>
      <c r="G4" s="60"/>
      <c r="H4" s="60"/>
      <c r="I4" s="60"/>
    </row>
    <row r="5" spans="1:9" ht="21" customHeight="1" x14ac:dyDescent="0.25">
      <c r="A5" s="24" t="s">
        <v>1</v>
      </c>
      <c r="B5" s="24"/>
      <c r="C5" s="25"/>
      <c r="D5" s="25"/>
      <c r="E5" s="25"/>
      <c r="F5" s="25"/>
      <c r="G5" s="24" t="s">
        <v>2</v>
      </c>
      <c r="H5" s="24"/>
      <c r="I5" s="5"/>
    </row>
    <row r="6" spans="1:9" ht="21" customHeight="1" x14ac:dyDescent="0.25">
      <c r="A6" s="24" t="s">
        <v>3</v>
      </c>
      <c r="B6" s="24"/>
      <c r="C6" s="25"/>
      <c r="D6" s="25"/>
      <c r="E6" s="25"/>
      <c r="F6" s="25"/>
      <c r="G6" s="24" t="s">
        <v>4</v>
      </c>
      <c r="H6" s="24"/>
      <c r="I6" s="5"/>
    </row>
    <row r="7" spans="1:9" ht="21" customHeight="1" x14ac:dyDescent="0.25">
      <c r="A7" s="24" t="s">
        <v>5</v>
      </c>
      <c r="B7" s="24"/>
      <c r="C7" s="25"/>
      <c r="D7" s="25"/>
      <c r="E7" s="25"/>
      <c r="F7" s="25"/>
      <c r="G7" s="24" t="s">
        <v>6</v>
      </c>
      <c r="H7" s="24"/>
      <c r="I7" s="5"/>
    </row>
    <row r="8" spans="1:9" ht="21" customHeight="1" x14ac:dyDescent="0.25">
      <c r="A8" s="24" t="s">
        <v>7</v>
      </c>
      <c r="B8" s="24"/>
      <c r="C8" s="61"/>
      <c r="D8" s="61"/>
      <c r="E8" s="61"/>
      <c r="F8" s="61"/>
      <c r="G8" s="24" t="s">
        <v>8</v>
      </c>
      <c r="H8" s="24"/>
      <c r="I8" s="5"/>
    </row>
    <row r="9" spans="1:9" ht="18" customHeight="1" x14ac:dyDescent="0.25">
      <c r="A9" s="46" t="s">
        <v>19</v>
      </c>
      <c r="B9" s="46"/>
      <c r="C9" s="46"/>
      <c r="D9" s="46"/>
      <c r="E9" s="46"/>
      <c r="F9" s="46" t="s">
        <v>20</v>
      </c>
      <c r="G9" s="46"/>
      <c r="H9" s="46"/>
      <c r="I9" s="87"/>
    </row>
    <row r="10" spans="1:9" ht="15.75" customHeight="1" x14ac:dyDescent="0.25">
      <c r="A10" s="46"/>
      <c r="B10" s="46"/>
      <c r="C10" s="46"/>
      <c r="D10" s="46"/>
      <c r="E10" s="46"/>
      <c r="F10" s="22">
        <v>1</v>
      </c>
      <c r="G10" s="46">
        <v>2</v>
      </c>
      <c r="H10" s="46"/>
      <c r="I10" s="22">
        <v>3</v>
      </c>
    </row>
    <row r="11" spans="1:9" ht="20.25" customHeight="1" x14ac:dyDescent="0.25">
      <c r="A11" s="66" t="s">
        <v>46</v>
      </c>
      <c r="B11" s="67"/>
      <c r="C11" s="67"/>
      <c r="D11" s="67"/>
      <c r="E11" s="68"/>
      <c r="F11" s="88">
        <v>64</v>
      </c>
      <c r="G11" s="90">
        <v>64</v>
      </c>
      <c r="H11" s="90"/>
      <c r="I11" s="88">
        <v>64</v>
      </c>
    </row>
    <row r="12" spans="1:9" ht="20.25" customHeight="1" x14ac:dyDescent="0.25">
      <c r="A12" s="66" t="s">
        <v>43</v>
      </c>
      <c r="B12" s="67"/>
      <c r="C12" s="67"/>
      <c r="D12" s="67"/>
      <c r="E12" s="68"/>
      <c r="F12" s="88">
        <v>0</v>
      </c>
      <c r="G12" s="90">
        <v>0</v>
      </c>
      <c r="H12" s="90"/>
      <c r="I12" s="88">
        <v>0</v>
      </c>
    </row>
    <row r="13" spans="1:9" ht="31.5" customHeight="1" x14ac:dyDescent="0.25">
      <c r="A13" s="66" t="s">
        <v>44</v>
      </c>
      <c r="B13" s="67"/>
      <c r="C13" s="67"/>
      <c r="D13" s="67"/>
      <c r="E13" s="68"/>
      <c r="F13" s="88">
        <v>20.309999999999999</v>
      </c>
      <c r="G13" s="90">
        <v>20.350000000000001</v>
      </c>
      <c r="H13" s="90"/>
      <c r="I13" s="88">
        <v>20.399999999999999</v>
      </c>
    </row>
    <row r="14" spans="1:9" ht="19.5" customHeight="1" x14ac:dyDescent="0.25">
      <c r="A14" s="66" t="s">
        <v>47</v>
      </c>
      <c r="B14" s="67"/>
      <c r="C14" s="67"/>
      <c r="D14" s="67"/>
      <c r="E14" s="68"/>
      <c r="F14" s="88">
        <f>F13-F12</f>
        <v>20.309999999999999</v>
      </c>
      <c r="G14" s="90">
        <f t="shared" ref="G14" si="0">G13-G12</f>
        <v>20.350000000000001</v>
      </c>
      <c r="H14" s="90"/>
      <c r="I14" s="88">
        <f>I13-I12</f>
        <v>20.399999999999999</v>
      </c>
    </row>
    <row r="15" spans="1:9" ht="40.5" customHeight="1" x14ac:dyDescent="0.25">
      <c r="A15" s="66" t="s">
        <v>45</v>
      </c>
      <c r="B15" s="67"/>
      <c r="C15" s="67"/>
      <c r="D15" s="67"/>
      <c r="E15" s="68"/>
      <c r="F15" s="88">
        <f>((F13-F12)*1)</f>
        <v>20.309999999999999</v>
      </c>
      <c r="G15" s="90">
        <f t="shared" ref="G15" si="1">((G13-G12)*1)</f>
        <v>20.350000000000001</v>
      </c>
      <c r="H15" s="90"/>
      <c r="I15" s="88">
        <f>((I13-I12)*1)</f>
        <v>20.399999999999999</v>
      </c>
    </row>
    <row r="16" spans="1:9" ht="31.5" customHeight="1" x14ac:dyDescent="0.25">
      <c r="A16" s="66" t="s">
        <v>48</v>
      </c>
      <c r="B16" s="67"/>
      <c r="C16" s="67"/>
      <c r="D16" s="67"/>
      <c r="E16" s="68"/>
      <c r="F16" s="89">
        <f>F11/F15</f>
        <v>3.1511570654849828</v>
      </c>
      <c r="G16" s="91">
        <f t="shared" ref="G16" si="2">G11/G15</f>
        <v>3.1449631449631448</v>
      </c>
      <c r="H16" s="91"/>
      <c r="I16" s="89">
        <f>I11/I15</f>
        <v>3.1372549019607847</v>
      </c>
    </row>
    <row r="17" spans="1:9" ht="18.75" customHeight="1" x14ac:dyDescent="0.25">
      <c r="A17" s="69"/>
      <c r="B17" s="70"/>
      <c r="C17" s="70"/>
      <c r="D17" s="70"/>
      <c r="E17" s="70"/>
      <c r="F17" s="70"/>
      <c r="G17" s="70"/>
      <c r="H17" s="70"/>
      <c r="I17" s="71"/>
    </row>
    <row r="18" spans="1:9" ht="18.75" customHeight="1" x14ac:dyDescent="0.25">
      <c r="A18" s="62" t="s">
        <v>9</v>
      </c>
      <c r="B18" s="63"/>
      <c r="C18" s="63"/>
      <c r="D18" s="63"/>
      <c r="E18" s="63"/>
      <c r="F18" s="63"/>
      <c r="G18" s="63"/>
      <c r="H18" s="63"/>
      <c r="I18" s="64"/>
    </row>
    <row r="20" spans="1:9" ht="15.75" x14ac:dyDescent="0.25">
      <c r="A20" s="1"/>
      <c r="B20" s="2"/>
      <c r="C20" s="6"/>
      <c r="D20" s="6"/>
      <c r="E20" s="9"/>
      <c r="F20" s="10"/>
      <c r="G20" s="10"/>
      <c r="H20" s="10"/>
      <c r="I20" s="11"/>
    </row>
    <row r="21" spans="1:9" ht="15.75" x14ac:dyDescent="0.25">
      <c r="A21" s="1"/>
      <c r="B21" s="2"/>
      <c r="C21" s="6"/>
      <c r="D21" s="6"/>
      <c r="E21" s="9"/>
      <c r="F21" s="10"/>
      <c r="G21" s="10"/>
      <c r="H21" s="10"/>
      <c r="I21" s="11"/>
    </row>
    <row r="22" spans="1:9" ht="15.75" x14ac:dyDescent="0.25">
      <c r="A22" s="1"/>
      <c r="B22" s="2"/>
      <c r="C22" s="6"/>
      <c r="D22" s="6"/>
      <c r="E22" s="9"/>
      <c r="F22" s="10"/>
      <c r="G22" s="10"/>
      <c r="H22" s="10"/>
      <c r="I22" s="11"/>
    </row>
    <row r="23" spans="1:9" ht="15.75" x14ac:dyDescent="0.25">
      <c r="A23" s="27"/>
      <c r="B23" s="28"/>
      <c r="C23" s="6"/>
      <c r="D23" s="6"/>
      <c r="E23" s="53"/>
      <c r="F23" s="54"/>
      <c r="G23" s="54"/>
      <c r="H23" s="54"/>
      <c r="I23" s="55"/>
    </row>
    <row r="24" spans="1:9" x14ac:dyDescent="0.25">
      <c r="A24" s="56" t="s">
        <v>10</v>
      </c>
      <c r="B24" s="57"/>
      <c r="C24" s="6"/>
      <c r="D24" s="6"/>
      <c r="E24" s="12"/>
      <c r="F24" s="7"/>
      <c r="G24" s="7"/>
      <c r="H24" s="48" t="s">
        <v>11</v>
      </c>
      <c r="I24" s="49"/>
    </row>
    <row r="25" spans="1:9" x14ac:dyDescent="0.25">
      <c r="A25" s="58"/>
      <c r="B25" s="59"/>
      <c r="C25" s="6"/>
      <c r="D25" s="6"/>
      <c r="E25" s="13"/>
      <c r="F25" s="7"/>
      <c r="G25" s="7"/>
      <c r="H25" s="7"/>
      <c r="I25" s="8"/>
    </row>
    <row r="26" spans="1:9" ht="15.75" x14ac:dyDescent="0.25">
      <c r="A26" s="14"/>
      <c r="B26" s="3"/>
      <c r="C26" s="12"/>
      <c r="D26" s="12"/>
      <c r="E26" s="48"/>
      <c r="F26" s="48"/>
      <c r="G26" s="48"/>
      <c r="H26" s="48"/>
      <c r="I26" s="49"/>
    </row>
    <row r="27" spans="1:9" ht="15.75" x14ac:dyDescent="0.25">
      <c r="A27" s="15"/>
      <c r="B27" s="16"/>
      <c r="C27" s="17"/>
      <c r="D27" s="17"/>
      <c r="E27" s="50"/>
      <c r="F27" s="50"/>
      <c r="G27" s="50"/>
      <c r="H27" s="51"/>
      <c r="I27" s="52"/>
    </row>
  </sheetData>
  <mergeCells count="43">
    <mergeCell ref="G14:H14"/>
    <mergeCell ref="G15:H15"/>
    <mergeCell ref="G16:H16"/>
    <mergeCell ref="F9:H9"/>
    <mergeCell ref="G10:H10"/>
    <mergeCell ref="G11:H11"/>
    <mergeCell ref="G12:H12"/>
    <mergeCell ref="G13:H13"/>
    <mergeCell ref="E27:G27"/>
    <mergeCell ref="H27:I27"/>
    <mergeCell ref="A15:E15"/>
    <mergeCell ref="A16:E16"/>
    <mergeCell ref="A17:I17"/>
    <mergeCell ref="A18:I18"/>
    <mergeCell ref="A23:B23"/>
    <mergeCell ref="E23:I23"/>
    <mergeCell ref="A24:B24"/>
    <mergeCell ref="H24:I24"/>
    <mergeCell ref="A25:B25"/>
    <mergeCell ref="E26:G26"/>
    <mergeCell ref="H26:I26"/>
    <mergeCell ref="A6:B6"/>
    <mergeCell ref="C6:F6"/>
    <mergeCell ref="G6:H6"/>
    <mergeCell ref="C4:I4"/>
    <mergeCell ref="A14:E14"/>
    <mergeCell ref="A7:B7"/>
    <mergeCell ref="C7:F7"/>
    <mergeCell ref="G7:H7"/>
    <mergeCell ref="A8:B8"/>
    <mergeCell ref="C8:F8"/>
    <mergeCell ref="G8:H8"/>
    <mergeCell ref="A9:E10"/>
    <mergeCell ref="A11:E11"/>
    <mergeCell ref="A12:E12"/>
    <mergeCell ref="A13:E13"/>
    <mergeCell ref="A3:I3"/>
    <mergeCell ref="A1:I1"/>
    <mergeCell ref="A2:I2"/>
    <mergeCell ref="A4:B4"/>
    <mergeCell ref="A5:B5"/>
    <mergeCell ref="C5:F5"/>
    <mergeCell ref="G5:H5"/>
  </mergeCells>
  <pageMargins left="0.7" right="0.7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silica WET SIEVING 45 micron</vt:lpstr>
      <vt:lpstr>COMPRESSIVE STRENGTH OF SILICA</vt:lpstr>
      <vt:lpstr>SPECIFIC GRAVITY OF MIRCO SILIC</vt:lpstr>
      <vt:lpstr>'COMPRESSIVE STRENGTH OF SILICA'!Print_Area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Shwetali</dc:creator>
  <cp:lastModifiedBy>Admin</cp:lastModifiedBy>
  <cp:lastPrinted>2026-05-19T11:37:02Z</cp:lastPrinted>
  <dcterms:created xsi:type="dcterms:W3CDTF">2026-03-20T06:02:46Z</dcterms:created>
  <dcterms:modified xsi:type="dcterms:W3CDTF">2026-06-26T07:15:06Z</dcterms:modified>
</cp:coreProperties>
</file>