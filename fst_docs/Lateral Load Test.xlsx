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s\NABL KNACK\LATERAL LOAD TEST\"/>
    </mc:Choice>
  </mc:AlternateContent>
  <xr:revisionPtr revIDLastSave="0" documentId="13_ncr:1_{692E717F-5A21-400E-BFBD-9F7D9BBE8B63}" xr6:coauthVersionLast="47" xr6:coauthVersionMax="47" xr10:uidLastSave="{00000000-0000-0000-0000-000000000000}"/>
  <bookViews>
    <workbookView xWindow="-120" yWindow="-120" windowWidth="20640" windowHeight="11160" firstSheet="4" activeTab="4" xr2:uid="{00000000-000D-0000-FFFF-FFFF00000000}"/>
  </bookViews>
  <sheets>
    <sheet name="TP-03" sheetId="1" state="hidden" r:id="rId1"/>
    <sheet name="TP-03 (2)" sheetId="2" state="hidden" r:id="rId2"/>
    <sheet name="TP-03 (3)" sheetId="3" state="hidden" r:id="rId3"/>
    <sheet name="TP-03 (4)" sheetId="4" state="hidden" r:id="rId4"/>
    <sheet name="TP-03 (5)" sheetId="5" r:id="rId5"/>
    <sheet name="AIGIS-T409-P14" sheetId="6" r:id="rId6"/>
    <sheet name="AIGIS-T412" sheetId="7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6" l="1"/>
  <c r="H9" i="5"/>
  <c r="H88" i="7"/>
  <c r="L79" i="7"/>
  <c r="L78" i="7"/>
  <c r="R77" i="7"/>
  <c r="P77" i="7"/>
  <c r="L76" i="7"/>
  <c r="M75" i="7"/>
  <c r="L75" i="7"/>
  <c r="K74" i="7"/>
  <c r="L52" i="7"/>
  <c r="L51" i="7"/>
  <c r="R50" i="7"/>
  <c r="P50" i="7"/>
  <c r="L49" i="7"/>
  <c r="N48" i="7"/>
  <c r="N75" i="7" s="1"/>
  <c r="L48" i="7"/>
  <c r="K47" i="7"/>
  <c r="H44" i="7"/>
  <c r="B44" i="7"/>
  <c r="H43" i="7"/>
  <c r="C43" i="7"/>
  <c r="B43" i="7"/>
  <c r="H42" i="7"/>
  <c r="C42" i="7"/>
  <c r="B42" i="7"/>
  <c r="H41" i="7"/>
  <c r="C41" i="7"/>
  <c r="B41" i="7"/>
  <c r="H40" i="7"/>
  <c r="C40" i="7"/>
  <c r="B40" i="7"/>
  <c r="G37" i="7"/>
  <c r="F37" i="7"/>
  <c r="E37" i="7"/>
  <c r="H37" i="7" s="1"/>
  <c r="B37" i="7"/>
  <c r="C37" i="7" s="1"/>
  <c r="G30" i="7"/>
  <c r="F30" i="7"/>
  <c r="H30" i="7" s="1"/>
  <c r="E30" i="7"/>
  <c r="B30" i="7"/>
  <c r="K60" i="7" s="1"/>
  <c r="K62" i="7" s="1"/>
  <c r="G23" i="7"/>
  <c r="F23" i="7"/>
  <c r="E23" i="7"/>
  <c r="B23" i="7"/>
  <c r="C23" i="7" s="1"/>
  <c r="G16" i="7"/>
  <c r="F16" i="7"/>
  <c r="E16" i="7"/>
  <c r="C16" i="7"/>
  <c r="B16" i="7"/>
  <c r="K58" i="7" s="1"/>
  <c r="K64" i="7" s="1"/>
  <c r="H9" i="7"/>
  <c r="I9" i="7" s="1"/>
  <c r="C9" i="7"/>
  <c r="B9" i="7"/>
  <c r="K57" i="7" s="1"/>
  <c r="K65" i="7" s="1"/>
  <c r="H23" i="7" l="1"/>
  <c r="H16" i="7"/>
  <c r="I16" i="7" s="1"/>
  <c r="L57" i="7"/>
  <c r="C30" i="7"/>
  <c r="K59" i="7"/>
  <c r="K63" i="7" s="1"/>
  <c r="K61" i="7"/>
  <c r="L58" i="7" l="1"/>
  <c r="I23" i="7"/>
  <c r="L59" i="7" l="1"/>
  <c r="I30" i="7"/>
  <c r="L60" i="7" l="1"/>
  <c r="I37" i="7"/>
  <c r="L61" i="7" l="1"/>
  <c r="I40" i="7"/>
  <c r="I41" i="7" s="1"/>
  <c r="I42" i="7" s="1"/>
  <c r="I43" i="7" s="1"/>
  <c r="I44" i="7" s="1"/>
  <c r="G88" i="6" l="1"/>
  <c r="G44" i="6"/>
  <c r="G43" i="6"/>
  <c r="G42" i="6"/>
  <c r="G41" i="6"/>
  <c r="G40" i="6"/>
  <c r="H9" i="6"/>
  <c r="K79" i="6"/>
  <c r="K78" i="6"/>
  <c r="Q77" i="6"/>
  <c r="O77" i="6"/>
  <c r="K76" i="6"/>
  <c r="L75" i="6"/>
  <c r="K75" i="6"/>
  <c r="J74" i="6"/>
  <c r="K52" i="6"/>
  <c r="K51" i="6"/>
  <c r="Q50" i="6"/>
  <c r="O50" i="6"/>
  <c r="K49" i="6"/>
  <c r="M48" i="6"/>
  <c r="M75" i="6" s="1"/>
  <c r="K48" i="6"/>
  <c r="J47" i="6"/>
  <c r="B44" i="6"/>
  <c r="B43" i="6"/>
  <c r="C43" i="6" s="1"/>
  <c r="C42" i="6"/>
  <c r="B42" i="6"/>
  <c r="B41" i="6"/>
  <c r="C41" i="6" s="1"/>
  <c r="C40" i="6"/>
  <c r="B40" i="6"/>
  <c r="F37" i="6"/>
  <c r="E37" i="6"/>
  <c r="C37" i="6"/>
  <c r="B37" i="6"/>
  <c r="J61" i="6" s="1"/>
  <c r="F30" i="6"/>
  <c r="E30" i="6"/>
  <c r="B30" i="6"/>
  <c r="J60" i="6" s="1"/>
  <c r="J62" i="6" s="1"/>
  <c r="F23" i="6"/>
  <c r="E23" i="6"/>
  <c r="G23" i="6" s="1"/>
  <c r="B23" i="6"/>
  <c r="C23" i="6" s="1"/>
  <c r="F16" i="6"/>
  <c r="E16" i="6"/>
  <c r="B16" i="6"/>
  <c r="C16" i="6" s="1"/>
  <c r="C9" i="6"/>
  <c r="B9" i="6"/>
  <c r="J57" i="6" s="1"/>
  <c r="J65" i="6" s="1"/>
  <c r="B44" i="5"/>
  <c r="B43" i="5"/>
  <c r="H42" i="5"/>
  <c r="H43" i="5"/>
  <c r="H44" i="5"/>
  <c r="H41" i="5"/>
  <c r="H40" i="5"/>
  <c r="H23" i="4"/>
  <c r="H16" i="4"/>
  <c r="H9" i="4"/>
  <c r="J40" i="4"/>
  <c r="H30" i="4"/>
  <c r="B47" i="2"/>
  <c r="B47" i="1"/>
  <c r="J59" i="6" l="1"/>
  <c r="J63" i="6" s="1"/>
  <c r="J58" i="6"/>
  <c r="J64" i="6" s="1"/>
  <c r="G30" i="6"/>
  <c r="G37" i="6"/>
  <c r="G16" i="6"/>
  <c r="H16" i="6" s="1"/>
  <c r="K57" i="6"/>
  <c r="C30" i="6"/>
  <c r="L79" i="5"/>
  <c r="L78" i="5"/>
  <c r="R77" i="5"/>
  <c r="P77" i="5"/>
  <c r="L76" i="5"/>
  <c r="M75" i="5"/>
  <c r="L75" i="5"/>
  <c r="K74" i="5"/>
  <c r="L52" i="5"/>
  <c r="L51" i="5"/>
  <c r="R50" i="5"/>
  <c r="P50" i="5"/>
  <c r="L49" i="5"/>
  <c r="N48" i="5"/>
  <c r="N75" i="5" s="1"/>
  <c r="L48" i="5"/>
  <c r="K47" i="5"/>
  <c r="C43" i="5"/>
  <c r="C42" i="5"/>
  <c r="B42" i="5"/>
  <c r="B41" i="5"/>
  <c r="C41" i="5" s="1"/>
  <c r="B40" i="5"/>
  <c r="C40" i="5" s="1"/>
  <c r="G37" i="5"/>
  <c r="F37" i="5"/>
  <c r="E37" i="5"/>
  <c r="H37" i="5" s="1"/>
  <c r="B37" i="5"/>
  <c r="K61" i="5" s="1"/>
  <c r="G30" i="5"/>
  <c r="F30" i="5"/>
  <c r="E30" i="5"/>
  <c r="B30" i="5"/>
  <c r="K60" i="5" s="1"/>
  <c r="K62" i="5" s="1"/>
  <c r="G23" i="5"/>
  <c r="F23" i="5"/>
  <c r="E23" i="5"/>
  <c r="B23" i="5"/>
  <c r="K59" i="5" s="1"/>
  <c r="K63" i="5" s="1"/>
  <c r="G16" i="5"/>
  <c r="F16" i="5"/>
  <c r="E16" i="5"/>
  <c r="B16" i="5"/>
  <c r="K58" i="5" s="1"/>
  <c r="K64" i="5" s="1"/>
  <c r="I9" i="5"/>
  <c r="B9" i="5"/>
  <c r="C9" i="5" s="1"/>
  <c r="L83" i="4"/>
  <c r="L82" i="4"/>
  <c r="R81" i="4"/>
  <c r="P81" i="4"/>
  <c r="L80" i="4"/>
  <c r="M79" i="4"/>
  <c r="L79" i="4"/>
  <c r="K78" i="4"/>
  <c r="L56" i="4"/>
  <c r="L55" i="4"/>
  <c r="R54" i="4"/>
  <c r="P54" i="4"/>
  <c r="L53" i="4"/>
  <c r="N52" i="4"/>
  <c r="N79" i="4" s="1"/>
  <c r="L52" i="4"/>
  <c r="K51" i="4"/>
  <c r="H48" i="4"/>
  <c r="B48" i="4"/>
  <c r="H47" i="4"/>
  <c r="C47" i="4"/>
  <c r="B47" i="4"/>
  <c r="H46" i="4"/>
  <c r="C46" i="4"/>
  <c r="B46" i="4"/>
  <c r="H45" i="4"/>
  <c r="C45" i="4"/>
  <c r="B45" i="4"/>
  <c r="H44" i="4"/>
  <c r="C44" i="4"/>
  <c r="B44" i="4"/>
  <c r="G37" i="4"/>
  <c r="F37" i="4"/>
  <c r="E37" i="4"/>
  <c r="C37" i="4"/>
  <c r="B37" i="4"/>
  <c r="K65" i="4" s="1"/>
  <c r="G30" i="4"/>
  <c r="F30" i="4"/>
  <c r="E30" i="4"/>
  <c r="C30" i="4"/>
  <c r="B30" i="4"/>
  <c r="K64" i="4" s="1"/>
  <c r="K66" i="4" s="1"/>
  <c r="G23" i="4"/>
  <c r="F23" i="4"/>
  <c r="E23" i="4"/>
  <c r="B23" i="4"/>
  <c r="K63" i="4" s="1"/>
  <c r="K67" i="4" s="1"/>
  <c r="G16" i="4"/>
  <c r="F16" i="4"/>
  <c r="E16" i="4"/>
  <c r="B16" i="4"/>
  <c r="K62" i="4" s="1"/>
  <c r="K68" i="4" s="1"/>
  <c r="B9" i="4"/>
  <c r="C9" i="4" s="1"/>
  <c r="L83" i="3"/>
  <c r="L82" i="3"/>
  <c r="R81" i="3"/>
  <c r="P81" i="3"/>
  <c r="L80" i="3"/>
  <c r="N79" i="3"/>
  <c r="M79" i="3"/>
  <c r="L79" i="3"/>
  <c r="K78" i="3"/>
  <c r="K65" i="3"/>
  <c r="L56" i="3"/>
  <c r="L55" i="3"/>
  <c r="R54" i="3"/>
  <c r="P54" i="3"/>
  <c r="L53" i="3"/>
  <c r="N52" i="3"/>
  <c r="L52" i="3"/>
  <c r="K51" i="3"/>
  <c r="H48" i="3"/>
  <c r="B48" i="3"/>
  <c r="H47" i="3"/>
  <c r="B47" i="3"/>
  <c r="C47" i="3" s="1"/>
  <c r="H46" i="3"/>
  <c r="B46" i="3"/>
  <c r="C46" i="3" s="1"/>
  <c r="H45" i="3"/>
  <c r="B45" i="3"/>
  <c r="C45" i="3" s="1"/>
  <c r="H44" i="3"/>
  <c r="B44" i="3"/>
  <c r="C44" i="3" s="1"/>
  <c r="G37" i="3"/>
  <c r="F37" i="3"/>
  <c r="E37" i="3"/>
  <c r="B37" i="3"/>
  <c r="C37" i="3" s="1"/>
  <c r="J40" i="3" s="1"/>
  <c r="G30" i="3"/>
  <c r="F30" i="3"/>
  <c r="E30" i="3"/>
  <c r="C30" i="3"/>
  <c r="B30" i="3"/>
  <c r="K64" i="3" s="1"/>
  <c r="K66" i="3" s="1"/>
  <c r="G23" i="3"/>
  <c r="F23" i="3"/>
  <c r="E23" i="3"/>
  <c r="B23" i="3"/>
  <c r="K63" i="3" s="1"/>
  <c r="K67" i="3" s="1"/>
  <c r="G16" i="3"/>
  <c r="F16" i="3"/>
  <c r="E16" i="3"/>
  <c r="B16" i="3"/>
  <c r="K62" i="3" s="1"/>
  <c r="K68" i="3" s="1"/>
  <c r="H9" i="3"/>
  <c r="I9" i="3" s="1"/>
  <c r="B9" i="3"/>
  <c r="C9" i="3" s="1"/>
  <c r="L83" i="2"/>
  <c r="L82" i="2"/>
  <c r="R81" i="2"/>
  <c r="P81" i="2"/>
  <c r="L80" i="2"/>
  <c r="M79" i="2"/>
  <c r="L79" i="2"/>
  <c r="K78" i="2"/>
  <c r="L56" i="2"/>
  <c r="L55" i="2"/>
  <c r="R54" i="2"/>
  <c r="P54" i="2"/>
  <c r="L53" i="2"/>
  <c r="N52" i="2"/>
  <c r="N79" i="2" s="1"/>
  <c r="L52" i="2"/>
  <c r="K51" i="2"/>
  <c r="H48" i="2"/>
  <c r="B48" i="2"/>
  <c r="H47" i="2"/>
  <c r="C47" i="2"/>
  <c r="H46" i="2"/>
  <c r="C46" i="2"/>
  <c r="B46" i="2"/>
  <c r="H45" i="2"/>
  <c r="C45" i="2"/>
  <c r="B45" i="2"/>
  <c r="H44" i="2"/>
  <c r="C44" i="2"/>
  <c r="B44" i="2"/>
  <c r="G37" i="2"/>
  <c r="F37" i="2"/>
  <c r="E37" i="2"/>
  <c r="C37" i="2"/>
  <c r="J40" i="2" s="1"/>
  <c r="B37" i="2"/>
  <c r="K65" i="2" s="1"/>
  <c r="G30" i="2"/>
  <c r="F30" i="2"/>
  <c r="E30" i="2"/>
  <c r="C30" i="2"/>
  <c r="B30" i="2"/>
  <c r="K64" i="2" s="1"/>
  <c r="K66" i="2" s="1"/>
  <c r="G23" i="2"/>
  <c r="F23" i="2"/>
  <c r="E23" i="2"/>
  <c r="H23" i="2" s="1"/>
  <c r="B23" i="2"/>
  <c r="K63" i="2" s="1"/>
  <c r="K67" i="2" s="1"/>
  <c r="G16" i="2"/>
  <c r="F16" i="2"/>
  <c r="E16" i="2"/>
  <c r="B16" i="2"/>
  <c r="K62" i="2" s="1"/>
  <c r="K68" i="2" s="1"/>
  <c r="H9" i="2"/>
  <c r="I9" i="2" s="1"/>
  <c r="B9" i="2"/>
  <c r="C9" i="2" s="1"/>
  <c r="H48" i="1"/>
  <c r="B48" i="1"/>
  <c r="H23" i="6" l="1"/>
  <c r="K58" i="6"/>
  <c r="C30" i="5"/>
  <c r="H16" i="5"/>
  <c r="I16" i="5" s="1"/>
  <c r="H23" i="5"/>
  <c r="H30" i="5"/>
  <c r="C37" i="5"/>
  <c r="C23" i="5"/>
  <c r="K57" i="5"/>
  <c r="K65" i="5" s="1"/>
  <c r="C16" i="5"/>
  <c r="L57" i="5"/>
  <c r="C23" i="4"/>
  <c r="K61" i="4"/>
  <c r="K69" i="4" s="1"/>
  <c r="C16" i="4"/>
  <c r="H37" i="3"/>
  <c r="H30" i="3"/>
  <c r="H23" i="3"/>
  <c r="H16" i="3"/>
  <c r="I16" i="3" s="1"/>
  <c r="C23" i="3"/>
  <c r="C16" i="3"/>
  <c r="L61" i="3"/>
  <c r="K61" i="3"/>
  <c r="K69" i="3" s="1"/>
  <c r="H37" i="2"/>
  <c r="H30" i="2"/>
  <c r="H16" i="2"/>
  <c r="I16" i="2" s="1"/>
  <c r="C23" i="2"/>
  <c r="K61" i="2"/>
  <c r="K69" i="2" s="1"/>
  <c r="C16" i="2"/>
  <c r="L61" i="2"/>
  <c r="E16" i="1"/>
  <c r="H47" i="1"/>
  <c r="H46" i="1"/>
  <c r="H45" i="1"/>
  <c r="H44" i="1"/>
  <c r="H9" i="1"/>
  <c r="I9" i="1" s="1"/>
  <c r="L61" i="1" s="1"/>
  <c r="G37" i="1"/>
  <c r="F37" i="1"/>
  <c r="E37" i="1"/>
  <c r="G30" i="1"/>
  <c r="F30" i="1"/>
  <c r="F23" i="1"/>
  <c r="E30" i="1"/>
  <c r="G23" i="1"/>
  <c r="E23" i="1"/>
  <c r="G16" i="1"/>
  <c r="F16" i="1"/>
  <c r="B45" i="1"/>
  <c r="C45" i="1" s="1"/>
  <c r="B46" i="1"/>
  <c r="C46" i="1" s="1"/>
  <c r="B44" i="1"/>
  <c r="C44" i="1" s="1"/>
  <c r="B37" i="1"/>
  <c r="C37" i="1" s="1"/>
  <c r="B30" i="1"/>
  <c r="C30" i="1" s="1"/>
  <c r="B23" i="1"/>
  <c r="C23" i="1" s="1"/>
  <c r="B16" i="1"/>
  <c r="C16" i="1" s="1"/>
  <c r="B9" i="1"/>
  <c r="C9" i="1" s="1"/>
  <c r="M79" i="1"/>
  <c r="C47" i="1"/>
  <c r="K59" i="6" l="1"/>
  <c r="H30" i="6"/>
  <c r="L58" i="5"/>
  <c r="I23" i="5"/>
  <c r="I23" i="3"/>
  <c r="L62" i="3"/>
  <c r="I23" i="2"/>
  <c r="L62" i="2"/>
  <c r="K62" i="1"/>
  <c r="K68" i="1" s="1"/>
  <c r="K61" i="1"/>
  <c r="K69" i="1" s="1"/>
  <c r="K63" i="1"/>
  <c r="K67" i="1" s="1"/>
  <c r="K64" i="1"/>
  <c r="K66" i="1" s="1"/>
  <c r="K65" i="1"/>
  <c r="H37" i="1"/>
  <c r="H30" i="1"/>
  <c r="H23" i="1"/>
  <c r="H16" i="1"/>
  <c r="L53" i="1"/>
  <c r="H37" i="6" l="1"/>
  <c r="K60" i="6"/>
  <c r="L59" i="5"/>
  <c r="I30" i="5"/>
  <c r="L63" i="3"/>
  <c r="I30" i="3"/>
  <c r="L63" i="2"/>
  <c r="I30" i="2"/>
  <c r="L83" i="1"/>
  <c r="L82" i="1"/>
  <c r="R81" i="1"/>
  <c r="P81" i="1"/>
  <c r="L80" i="1"/>
  <c r="L79" i="1"/>
  <c r="K78" i="1"/>
  <c r="L56" i="1"/>
  <c r="L55" i="1"/>
  <c r="R54" i="1"/>
  <c r="P54" i="1"/>
  <c r="N52" i="1"/>
  <c r="N79" i="1" s="1"/>
  <c r="L52" i="1"/>
  <c r="K51" i="1"/>
  <c r="K61" i="6" l="1"/>
  <c r="H40" i="6"/>
  <c r="H41" i="6" s="1"/>
  <c r="H42" i="6" s="1"/>
  <c r="H43" i="6" s="1"/>
  <c r="H44" i="6" s="1"/>
  <c r="I37" i="5"/>
  <c r="L60" i="5"/>
  <c r="I37" i="3"/>
  <c r="L64" i="3"/>
  <c r="I37" i="2"/>
  <c r="L64" i="2"/>
  <c r="I16" i="1"/>
  <c r="I23" i="1" s="1"/>
  <c r="J40" i="1"/>
  <c r="L61" i="5" l="1"/>
  <c r="I40" i="5"/>
  <c r="I41" i="5" s="1"/>
  <c r="I42" i="5" s="1"/>
  <c r="I43" i="5" s="1"/>
  <c r="I44" i="5" s="1"/>
  <c r="L65" i="3"/>
  <c r="I44" i="3"/>
  <c r="I45" i="3" s="1"/>
  <c r="I46" i="3" s="1"/>
  <c r="I47" i="3" s="1"/>
  <c r="I48" i="3" s="1"/>
  <c r="L65" i="2"/>
  <c r="I44" i="2"/>
  <c r="I45" i="2" s="1"/>
  <c r="I46" i="2" s="1"/>
  <c r="I47" i="2" s="1"/>
  <c r="I48" i="2" s="1"/>
  <c r="L62" i="1"/>
  <c r="L63" i="1"/>
  <c r="I30" i="1" l="1"/>
  <c r="L64" i="1" s="1"/>
  <c r="I37" i="1" l="1"/>
  <c r="L65" i="1" l="1"/>
  <c r="I44" i="1"/>
  <c r="I45" i="1" l="1"/>
  <c r="I46" i="1" l="1"/>
  <c r="I47" i="1" l="1"/>
  <c r="I48" i="1" l="1"/>
  <c r="I9" i="4"/>
  <c r="L61" i="4" s="1"/>
  <c r="I16" i="4" l="1"/>
  <c r="I23" i="4" s="1"/>
  <c r="L63" i="4" s="1"/>
  <c r="L62" i="4" l="1"/>
  <c r="I30" i="4"/>
  <c r="L64" i="4" s="1"/>
  <c r="L65" i="4"/>
  <c r="H37" i="4"/>
  <c r="I37" i="4"/>
  <c r="I44" i="4"/>
  <c r="I45" i="4"/>
  <c r="I46" i="4"/>
  <c r="I47" i="4"/>
  <c r="I48" i="4"/>
</calcChain>
</file>

<file path=xl/sharedStrings.xml><?xml version="1.0" encoding="utf-8"?>
<sst xmlns="http://schemas.openxmlformats.org/spreadsheetml/2006/main" count="325" uniqueCount="40">
  <si>
    <t>PROJECT</t>
  </si>
  <si>
    <t>DATE</t>
  </si>
  <si>
    <t>CLIENT</t>
  </si>
  <si>
    <t>LOCATION</t>
  </si>
  <si>
    <t>TEST NO</t>
  </si>
  <si>
    <t>Applied Pressure</t>
  </si>
  <si>
    <t>Load on  Plate</t>
  </si>
  <si>
    <t>Pressure under plate</t>
  </si>
  <si>
    <t>Time</t>
  </si>
  <si>
    <t>Dial Gauge Readings</t>
  </si>
  <si>
    <t>Average Settlement</t>
  </si>
  <si>
    <t>Cumulative Settlement</t>
  </si>
  <si>
    <r>
      <t>kg/cm</t>
    </r>
    <r>
      <rPr>
        <b/>
        <vertAlign val="superscript"/>
        <sz val="11"/>
        <color theme="1"/>
        <rFont val="Times New Roman"/>
        <family val="1"/>
      </rPr>
      <t>2</t>
    </r>
  </si>
  <si>
    <t>t</t>
  </si>
  <si>
    <r>
      <t>t/m</t>
    </r>
    <r>
      <rPr>
        <b/>
        <vertAlign val="superscript"/>
        <sz val="11"/>
        <color theme="1"/>
        <rFont val="Times New Roman"/>
        <family val="1"/>
      </rPr>
      <t>2</t>
    </r>
  </si>
  <si>
    <t>min</t>
  </si>
  <si>
    <t>D1</t>
  </si>
  <si>
    <t>D2</t>
  </si>
  <si>
    <t>mm</t>
  </si>
  <si>
    <t>PLATE LOAD TEST</t>
  </si>
  <si>
    <t>Test No.</t>
  </si>
  <si>
    <t>Client</t>
  </si>
  <si>
    <t>Location</t>
  </si>
  <si>
    <t>Depth</t>
  </si>
  <si>
    <t>Strata</t>
  </si>
  <si>
    <t>Plate Size</t>
  </si>
  <si>
    <t>Date</t>
  </si>
  <si>
    <t xml:space="preserve">  Log Scale</t>
  </si>
  <si>
    <t>Applied  load in T/m2</t>
  </si>
  <si>
    <t>Settlement in mm</t>
  </si>
  <si>
    <t>Natural  Scale</t>
  </si>
  <si>
    <r>
      <t>Load  in  t/m</t>
    </r>
    <r>
      <rPr>
        <vertAlign val="superscript"/>
        <sz val="10"/>
        <rFont val="Arial"/>
        <family val="2"/>
      </rPr>
      <t>2</t>
    </r>
  </si>
  <si>
    <t>Settlement  in  mm</t>
  </si>
  <si>
    <t>AT SURFACE</t>
  </si>
  <si>
    <t>D3</t>
  </si>
  <si>
    <t>LATERAL PILE LOAD TEST CALCULATIONS</t>
  </si>
  <si>
    <t>377 MLD</t>
  </si>
  <si>
    <t>GVPR</t>
  </si>
  <si>
    <t>T409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</si>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</sst>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9">
    <xf numFmtId="0" fontId="0" fillId="0" borderId="0" xfId="0"/>
    <xf numFmtId="0" fontId="2" fillId="0" borderId="0" xfId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1" xfId="1" applyBorder="1" applyAlignment="1">
      <alignment horizontal="left" wrapText="1"/>
    </xf>
    <xf numFmtId="0" fontId="2" fillId="0" borderId="0" xfId="1" applyAlignment="1">
      <alignment horizontal="center" wrapText="1"/>
    </xf>
    <xf numFmtId="0" fontId="2" fillId="0" borderId="0" xfId="1" applyAlignment="1">
      <alignment horizontal="left"/>
    </xf>
    <xf numFmtId="14" fontId="2" fillId="0" borderId="0" xfId="1" applyNumberFormat="1" applyAlignment="1">
      <alignment horizontal="center" wrapText="1"/>
    </xf>
    <xf numFmtId="0" fontId="2" fillId="0" borderId="22" xfId="1" applyBorder="1" applyAlignment="1">
      <alignment horizontal="center" wrapText="1"/>
    </xf>
    <xf numFmtId="0" fontId="2" fillId="0" borderId="21" xfId="1" applyBorder="1"/>
    <xf numFmtId="0" fontId="6" fillId="0" borderId="0" xfId="1" applyFont="1" applyAlignment="1">
      <alignment horizontal="left"/>
    </xf>
    <xf numFmtId="165" fontId="2" fillId="0" borderId="0" xfId="1" applyNumberFormat="1" applyAlignment="1">
      <alignment wrapText="1"/>
    </xf>
    <xf numFmtId="164" fontId="2" fillId="0" borderId="0" xfId="1" applyNumberFormat="1"/>
    <xf numFmtId="0" fontId="2" fillId="0" borderId="22" xfId="1" applyBorder="1" applyAlignment="1">
      <alignment wrapText="1"/>
    </xf>
    <xf numFmtId="1" fontId="2" fillId="0" borderId="0" xfId="1" applyNumberFormat="1" applyAlignment="1">
      <alignment horizontal="left"/>
    </xf>
    <xf numFmtId="0" fontId="2" fillId="0" borderId="0" xfId="1" applyAlignment="1">
      <alignment wrapText="1"/>
    </xf>
    <xf numFmtId="0" fontId="6" fillId="0" borderId="0" xfId="1" applyFont="1"/>
    <xf numFmtId="165" fontId="2" fillId="0" borderId="0" xfId="1" applyNumberFormat="1"/>
    <xf numFmtId="14" fontId="2" fillId="0" borderId="0" xfId="1" applyNumberFormat="1"/>
    <xf numFmtId="166" fontId="2" fillId="0" borderId="0" xfId="1" applyNumberFormat="1" applyAlignment="1">
      <alignment horizontal="left" wrapText="1"/>
    </xf>
    <xf numFmtId="164" fontId="5" fillId="0" borderId="0" xfId="1" applyNumberFormat="1" applyFont="1"/>
    <xf numFmtId="0" fontId="2" fillId="0" borderId="23" xfId="1" applyBorder="1" applyAlignment="1">
      <alignment horizontal="center" vertical="top" wrapText="1"/>
    </xf>
    <xf numFmtId="165" fontId="2" fillId="0" borderId="10" xfId="1" applyNumberFormat="1" applyBorder="1" applyAlignment="1">
      <alignment horizontal="center" vertical="top" wrapText="1"/>
    </xf>
    <xf numFmtId="0" fontId="2" fillId="0" borderId="0" xfId="1" applyAlignment="1">
      <alignment horizontal="center" vertical="top" wrapText="1"/>
    </xf>
    <xf numFmtId="165" fontId="2" fillId="0" borderId="0" xfId="1" applyNumberFormat="1" applyAlignment="1">
      <alignment horizontal="center" vertical="top" wrapText="1"/>
    </xf>
    <xf numFmtId="0" fontId="2" fillId="0" borderId="22" xfId="1" applyBorder="1" applyAlignment="1">
      <alignment horizontal="center" vertical="top" wrapText="1"/>
    </xf>
    <xf numFmtId="0" fontId="2" fillId="0" borderId="23" xfId="1" applyBorder="1" applyAlignment="1">
      <alignment wrapText="1"/>
    </xf>
    <xf numFmtId="164" fontId="2" fillId="0" borderId="10" xfId="1" applyNumberFormat="1" applyBorder="1" applyAlignment="1">
      <alignment wrapText="1"/>
    </xf>
    <xf numFmtId="2" fontId="2" fillId="0" borderId="21" xfId="1" applyNumberFormat="1" applyBorder="1" applyAlignment="1">
      <alignment wrapText="1"/>
    </xf>
    <xf numFmtId="2" fontId="2" fillId="0" borderId="13" xfId="1" applyNumberFormat="1" applyBorder="1" applyAlignment="1">
      <alignment wrapText="1"/>
    </xf>
    <xf numFmtId="164" fontId="2" fillId="0" borderId="13" xfId="1" applyNumberFormat="1" applyBorder="1" applyAlignment="1">
      <alignment wrapText="1"/>
    </xf>
    <xf numFmtId="0" fontId="2" fillId="0" borderId="24" xfId="1" applyBorder="1" applyAlignment="1">
      <alignment wrapText="1"/>
    </xf>
    <xf numFmtId="2" fontId="2" fillId="0" borderId="24" xfId="1" applyNumberFormat="1" applyBorder="1" applyAlignment="1">
      <alignment horizontal="right" wrapText="1"/>
    </xf>
    <xf numFmtId="0" fontId="2" fillId="0" borderId="25" xfId="1" applyBorder="1" applyAlignment="1">
      <alignment wrapText="1"/>
    </xf>
    <xf numFmtId="164" fontId="2" fillId="0" borderId="26" xfId="1" applyNumberFormat="1" applyBorder="1" applyAlignment="1">
      <alignment wrapText="1"/>
    </xf>
    <xf numFmtId="165" fontId="2" fillId="0" borderId="27" xfId="1" applyNumberFormat="1" applyBorder="1" applyAlignment="1">
      <alignment wrapText="1"/>
    </xf>
    <xf numFmtId="0" fontId="2" fillId="0" borderId="27" xfId="1" applyBorder="1" applyAlignment="1">
      <alignment wrapText="1"/>
    </xf>
    <xf numFmtId="0" fontId="2" fillId="0" borderId="28" xfId="1" applyBorder="1" applyAlignment="1">
      <alignment wrapText="1"/>
    </xf>
    <xf numFmtId="164" fontId="5" fillId="0" borderId="0" xfId="1" applyNumberFormat="1" applyFont="1" applyAlignment="1">
      <alignment horizontal="center" vertical="top"/>
    </xf>
    <xf numFmtId="0" fontId="2" fillId="0" borderId="0" xfId="1" applyAlignment="1">
      <alignment horizontal="center"/>
    </xf>
    <xf numFmtId="0" fontId="2" fillId="0" borderId="29" xfId="1" applyBorder="1" applyAlignment="1">
      <alignment horizontal="center" vertical="top" wrapText="1"/>
    </xf>
    <xf numFmtId="165" fontId="2" fillId="0" borderId="9" xfId="1" applyNumberFormat="1" applyBorder="1" applyAlignment="1">
      <alignment horizontal="center" vertical="top" wrapText="1"/>
    </xf>
    <xf numFmtId="0" fontId="2" fillId="0" borderId="21" xfId="1" applyBorder="1" applyAlignment="1">
      <alignment wrapText="1"/>
    </xf>
    <xf numFmtId="165" fontId="2" fillId="0" borderId="0" xfId="1" applyNumberFormat="1" applyAlignment="1">
      <alignment horizontal="center" wrapText="1"/>
    </xf>
    <xf numFmtId="0" fontId="2" fillId="0" borderId="24" xfId="1" applyBorder="1"/>
    <xf numFmtId="166" fontId="2" fillId="0" borderId="24" xfId="1" applyNumberFormat="1" applyBorder="1" applyAlignment="1">
      <alignment horizontal="center" wrapText="1"/>
    </xf>
    <xf numFmtId="164" fontId="2" fillId="0" borderId="13" xfId="1" applyNumberFormat="1" applyBorder="1" applyAlignment="1">
      <alignment horizontal="center" wrapText="1"/>
    </xf>
    <xf numFmtId="166" fontId="2" fillId="0" borderId="25" xfId="1" applyNumberFormat="1" applyBorder="1" applyAlignment="1">
      <alignment horizontal="center" wrapText="1"/>
    </xf>
    <xf numFmtId="164" fontId="2" fillId="0" borderId="26" xfId="1" applyNumberFormat="1" applyBorder="1" applyAlignment="1">
      <alignment horizontal="center" wrapText="1"/>
    </xf>
    <xf numFmtId="0" fontId="3" fillId="0" borderId="0" xfId="0" applyFont="1" applyAlignment="1">
      <alignment horizontal="right" vertical="center"/>
    </xf>
    <xf numFmtId="2" fontId="3" fillId="0" borderId="13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2" fillId="0" borderId="24" xfId="1" applyNumberFormat="1" applyBorder="1" applyAlignment="1">
      <alignment wrapText="1"/>
    </xf>
    <xf numFmtId="0" fontId="2" fillId="0" borderId="18" xfId="1" applyBorder="1" applyAlignment="1">
      <alignment horizontal="center" wrapText="1"/>
    </xf>
    <xf numFmtId="0" fontId="2" fillId="0" borderId="19" xfId="1" applyBorder="1" applyAlignment="1">
      <alignment horizontal="center" wrapText="1"/>
    </xf>
    <xf numFmtId="0" fontId="2" fillId="0" borderId="20" xfId="1" applyBorder="1" applyAlignment="1">
      <alignment horizontal="center" wrapText="1"/>
    </xf>
    <xf numFmtId="0" fontId="6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164" fontId="5" fillId="0" borderId="15" xfId="1" applyNumberFormat="1" applyFont="1" applyBorder="1" applyAlignment="1">
      <alignment horizontal="center" vertical="top"/>
    </xf>
    <xf numFmtId="164" fontId="5" fillId="0" borderId="16" xfId="1" applyNumberFormat="1" applyFont="1" applyBorder="1" applyAlignment="1">
      <alignment horizontal="center" vertical="top"/>
    </xf>
    <xf numFmtId="164" fontId="5" fillId="0" borderId="17" xfId="1" applyNumberFormat="1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3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6141094241672824"/>
          <c:y val="2.24360993337371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00414937759351"/>
          <c:y val="0.12179525301498982"/>
          <c:w val="0.80912863070539465"/>
          <c:h val="0.7211561033782282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'TP-03'!$L$61:$L$74</c:f>
              <c:numCache>
                <c:formatCode>0.00</c:formatCode>
                <c:ptCount val="14"/>
                <c:pt idx="0">
                  <c:v>0.14666666666666667</c:v>
                </c:pt>
                <c:pt idx="1">
                  <c:v>0.41333333333333333</c:v>
                </c:pt>
                <c:pt idx="2">
                  <c:v>0.78333333333333321</c:v>
                </c:pt>
                <c:pt idx="3">
                  <c:v>1.2866666666666666</c:v>
                </c:pt>
                <c:pt idx="4">
                  <c:v>3.2066666666666666</c:v>
                </c:pt>
                <c:pt idx="5" formatCode="0.000">
                  <c:v>3.15</c:v>
                </c:pt>
                <c:pt idx="6" formatCode="0.000">
                  <c:v>3.01</c:v>
                </c:pt>
                <c:pt idx="7" formatCode="0.000">
                  <c:v>2.7699999999999996</c:v>
                </c:pt>
                <c:pt idx="8" formatCode="0.000">
                  <c:v>2.5733333333333328</c:v>
                </c:pt>
                <c:pt idx="9" formatCode="0.000">
                  <c:v>2.4699999999999998</c:v>
                </c:pt>
              </c:numCache>
            </c:numRef>
          </c:xVal>
          <c:yVal>
            <c:numRef>
              <c:f>'TP-03'!$K$61:$K$74</c:f>
              <c:numCache>
                <c:formatCode>0.00</c:formatCode>
                <c:ptCount val="14"/>
                <c:pt idx="0">
                  <c:v>3.85</c:v>
                </c:pt>
                <c:pt idx="1">
                  <c:v>7.7</c:v>
                </c:pt>
                <c:pt idx="2">
                  <c:v>11.55</c:v>
                </c:pt>
                <c:pt idx="3">
                  <c:v>15.4</c:v>
                </c:pt>
                <c:pt idx="4">
                  <c:v>19.25</c:v>
                </c:pt>
                <c:pt idx="5">
                  <c:v>15.4</c:v>
                </c:pt>
                <c:pt idx="6">
                  <c:v>11.55</c:v>
                </c:pt>
                <c:pt idx="7">
                  <c:v>7.7</c:v>
                </c:pt>
                <c:pt idx="8">
                  <c:v>3.85</c:v>
                </c:pt>
                <c:pt idx="9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C7-40EB-9C3D-FB6CDB41C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7008"/>
        <c:axId val="132909312"/>
      </c:scatterChart>
      <c:valAx>
        <c:axId val="132907008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Settlement in mm</a:t>
                </a:r>
              </a:p>
            </c:rich>
          </c:tx>
          <c:layout>
            <c:manualLayout>
              <c:xMode val="edge"/>
              <c:yMode val="edge"/>
              <c:x val="0.42950798277287205"/>
              <c:y val="0.908305269533616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09312"/>
        <c:crossesAt val="0.1"/>
        <c:crossBetween val="midCat"/>
      </c:valAx>
      <c:valAx>
        <c:axId val="132909312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t/m</a:t>
                </a:r>
                <a:r>
                  <a:rPr lang="en-IN" sz="1200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2.5811690665738605E-3"/>
              <c:y val="0.299725822733696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07008"/>
        <c:crossesAt val="0.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paperSize="9" orientation="landscape" horizontalDpi="120" verticalDpi="14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8865979381443324"/>
          <c:y val="1.60771795417464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70879517749392"/>
          <c:y val="0.21939234696081941"/>
          <c:w val="0.77319587628866082"/>
          <c:h val="0.7009646302250809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'TP-03'!$K$87:$K$101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3.85</c:v>
                </c:pt>
                <c:pt idx="2">
                  <c:v>7.7</c:v>
                </c:pt>
                <c:pt idx="3">
                  <c:v>11.55</c:v>
                </c:pt>
                <c:pt idx="4">
                  <c:v>15.4</c:v>
                </c:pt>
                <c:pt idx="5">
                  <c:v>19.25</c:v>
                </c:pt>
                <c:pt idx="6">
                  <c:v>15.4</c:v>
                </c:pt>
                <c:pt idx="7" formatCode="General">
                  <c:v>11.55</c:v>
                </c:pt>
                <c:pt idx="8" formatCode="General">
                  <c:v>7.7</c:v>
                </c:pt>
                <c:pt idx="9" formatCode="General">
                  <c:v>3.85</c:v>
                </c:pt>
                <c:pt idx="10" formatCode="General">
                  <c:v>0</c:v>
                </c:pt>
              </c:numCache>
            </c:numRef>
          </c:xVal>
          <c:yVal>
            <c:numRef>
              <c:f>'TP-03'!$L$87:$L$101</c:f>
              <c:numCache>
                <c:formatCode>0.00</c:formatCode>
                <c:ptCount val="15"/>
                <c:pt idx="0" formatCode="0.000">
                  <c:v>0</c:v>
                </c:pt>
                <c:pt idx="1">
                  <c:v>0.14666666666666667</c:v>
                </c:pt>
                <c:pt idx="2">
                  <c:v>0.41333333333333333</c:v>
                </c:pt>
                <c:pt idx="3">
                  <c:v>0.78333333333333321</c:v>
                </c:pt>
                <c:pt idx="4">
                  <c:v>1.2866666666666666</c:v>
                </c:pt>
                <c:pt idx="5">
                  <c:v>3.2066666666666666</c:v>
                </c:pt>
                <c:pt idx="6">
                  <c:v>3.15</c:v>
                </c:pt>
                <c:pt idx="7">
                  <c:v>3.01</c:v>
                </c:pt>
                <c:pt idx="8">
                  <c:v>2.7699999999999996</c:v>
                </c:pt>
                <c:pt idx="9">
                  <c:v>2.5733333333333328</c:v>
                </c:pt>
                <c:pt idx="10" formatCode="0.000">
                  <c:v>2.4699999999999998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C0-42DC-9260-234D0EDEC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29792"/>
        <c:axId val="132952832"/>
      </c:scatterChart>
      <c:valAx>
        <c:axId val="13292979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975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t/m</a:t>
                </a:r>
                <a:r>
                  <a:rPr lang="en-IN" sz="975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0.45567010309278372"/>
              <c:y val="0.913183301411647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52832"/>
        <c:crossesAt val="0"/>
        <c:crossBetween val="midCat"/>
      </c:valAx>
      <c:valAx>
        <c:axId val="1329528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Settlement, mm</a:t>
                </a:r>
              </a:p>
            </c:rich>
          </c:tx>
          <c:layout>
            <c:manualLayout>
              <c:xMode val="edge"/>
              <c:yMode val="edge"/>
              <c:x val="4.5832508049895873E-2"/>
              <c:y val="0.371799319004043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29792"/>
        <c:crossesAt val="0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" verticalDpi="14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6141094241672824"/>
          <c:y val="2.24360993337371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00414937759351"/>
          <c:y val="0.12179525301498982"/>
          <c:w val="0.80912863070539465"/>
          <c:h val="0.7211561033782282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'TP-03 (2)'!$L$61:$L$74</c:f>
              <c:numCache>
                <c:formatCode>0.00</c:formatCode>
                <c:ptCount val="14"/>
                <c:pt idx="0">
                  <c:v>0.35666666666666669</c:v>
                </c:pt>
                <c:pt idx="1">
                  <c:v>0.92</c:v>
                </c:pt>
                <c:pt idx="2">
                  <c:v>1.3399999999999999</c:v>
                </c:pt>
                <c:pt idx="3">
                  <c:v>1.8233333333333333</c:v>
                </c:pt>
                <c:pt idx="4">
                  <c:v>3.25</c:v>
                </c:pt>
                <c:pt idx="5" formatCode="0.000">
                  <c:v>3.4833333333333334</c:v>
                </c:pt>
                <c:pt idx="6" formatCode="0.000">
                  <c:v>3.2366666666666668</c:v>
                </c:pt>
                <c:pt idx="7" formatCode="0.000">
                  <c:v>2.96</c:v>
                </c:pt>
                <c:pt idx="8" formatCode="0.000">
                  <c:v>2.0833333333333335</c:v>
                </c:pt>
                <c:pt idx="9" formatCode="0.000">
                  <c:v>1.5500000000000003</c:v>
                </c:pt>
              </c:numCache>
            </c:numRef>
          </c:xVal>
          <c:yVal>
            <c:numRef>
              <c:f>'TP-03 (2)'!$K$61:$K$74</c:f>
              <c:numCache>
                <c:formatCode>0.00</c:formatCode>
                <c:ptCount val="14"/>
                <c:pt idx="0">
                  <c:v>3.85</c:v>
                </c:pt>
                <c:pt idx="1">
                  <c:v>7.7</c:v>
                </c:pt>
                <c:pt idx="2">
                  <c:v>11.55</c:v>
                </c:pt>
                <c:pt idx="3">
                  <c:v>15.4</c:v>
                </c:pt>
                <c:pt idx="4">
                  <c:v>19.25</c:v>
                </c:pt>
                <c:pt idx="5">
                  <c:v>15.4</c:v>
                </c:pt>
                <c:pt idx="6">
                  <c:v>11.55</c:v>
                </c:pt>
                <c:pt idx="7">
                  <c:v>7.7</c:v>
                </c:pt>
                <c:pt idx="8">
                  <c:v>3.85</c:v>
                </c:pt>
                <c:pt idx="9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3F-402C-BEAE-064C2D7A9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7008"/>
        <c:axId val="132909312"/>
      </c:scatterChart>
      <c:valAx>
        <c:axId val="132907008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Settlement in mm</a:t>
                </a:r>
              </a:p>
            </c:rich>
          </c:tx>
          <c:layout>
            <c:manualLayout>
              <c:xMode val="edge"/>
              <c:yMode val="edge"/>
              <c:x val="0.42950798277287205"/>
              <c:y val="0.908305269533616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09312"/>
        <c:crossesAt val="0.1"/>
        <c:crossBetween val="midCat"/>
      </c:valAx>
      <c:valAx>
        <c:axId val="132909312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t/m</a:t>
                </a:r>
                <a:r>
                  <a:rPr lang="en-IN" sz="1200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2.5811690665738605E-3"/>
              <c:y val="0.299725822733696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07008"/>
        <c:crossesAt val="0.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paperSize="9" orientation="landscape" horizontalDpi="120" verticalDpi="144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8865979381443324"/>
          <c:y val="1.60771795417464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70879517749392"/>
          <c:y val="0.21939234696081941"/>
          <c:w val="0.77319587628866082"/>
          <c:h val="0.7009646302250809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'TP-03 (2)'!$K$87:$K$101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3.85</c:v>
                </c:pt>
                <c:pt idx="2">
                  <c:v>7.7</c:v>
                </c:pt>
                <c:pt idx="3">
                  <c:v>11.55</c:v>
                </c:pt>
                <c:pt idx="4">
                  <c:v>15.4</c:v>
                </c:pt>
                <c:pt idx="5">
                  <c:v>19.25</c:v>
                </c:pt>
                <c:pt idx="6">
                  <c:v>15.4</c:v>
                </c:pt>
                <c:pt idx="7" formatCode="General">
                  <c:v>11.55</c:v>
                </c:pt>
                <c:pt idx="8" formatCode="General">
                  <c:v>7.7</c:v>
                </c:pt>
                <c:pt idx="9" formatCode="General">
                  <c:v>3.85</c:v>
                </c:pt>
                <c:pt idx="10" formatCode="General">
                  <c:v>0</c:v>
                </c:pt>
              </c:numCache>
            </c:numRef>
          </c:xVal>
          <c:yVal>
            <c:numRef>
              <c:f>'TP-03 (2)'!$L$87:$L$101</c:f>
              <c:numCache>
                <c:formatCode>0.00</c:formatCode>
                <c:ptCount val="15"/>
                <c:pt idx="0" formatCode="0.000">
                  <c:v>0</c:v>
                </c:pt>
                <c:pt idx="1">
                  <c:v>0.14666666666666667</c:v>
                </c:pt>
                <c:pt idx="2">
                  <c:v>0.41333333333333333</c:v>
                </c:pt>
                <c:pt idx="3">
                  <c:v>0.78333333333333321</c:v>
                </c:pt>
                <c:pt idx="4">
                  <c:v>1.2866666666666666</c:v>
                </c:pt>
                <c:pt idx="5">
                  <c:v>3.2066666666666666</c:v>
                </c:pt>
                <c:pt idx="6">
                  <c:v>3.07</c:v>
                </c:pt>
                <c:pt idx="7">
                  <c:v>2.9433333333333334</c:v>
                </c:pt>
                <c:pt idx="8">
                  <c:v>2.8466666666666667</c:v>
                </c:pt>
                <c:pt idx="9">
                  <c:v>2.52</c:v>
                </c:pt>
                <c:pt idx="10">
                  <c:v>2.4233333333333333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D9-4AF8-A87E-26CD740FA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29792"/>
        <c:axId val="132952832"/>
      </c:scatterChart>
      <c:valAx>
        <c:axId val="13292979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975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t/m</a:t>
                </a:r>
                <a:r>
                  <a:rPr lang="en-IN" sz="975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0.45567010309278372"/>
              <c:y val="0.913183301411647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52832"/>
        <c:crossesAt val="0"/>
        <c:crossBetween val="midCat"/>
      </c:valAx>
      <c:valAx>
        <c:axId val="1329528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Settlement, mm</a:t>
                </a:r>
              </a:p>
            </c:rich>
          </c:tx>
          <c:layout>
            <c:manualLayout>
              <c:xMode val="edge"/>
              <c:yMode val="edge"/>
              <c:x val="4.5832508049895873E-2"/>
              <c:y val="0.371799319004043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29792"/>
        <c:crossesAt val="0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" verticalDpi="144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6141094241672824"/>
          <c:y val="2.24360993337371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00414937759351"/>
          <c:y val="0.12179525301498982"/>
          <c:w val="0.80912863070539465"/>
          <c:h val="0.7211561033782282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'TP-03 (3)'!$L$61:$L$74</c:f>
              <c:numCache>
                <c:formatCode>0.00</c:formatCode>
                <c:ptCount val="14"/>
                <c:pt idx="0">
                  <c:v>0.63</c:v>
                </c:pt>
                <c:pt idx="1">
                  <c:v>0.97666666666666668</c:v>
                </c:pt>
                <c:pt idx="2">
                  <c:v>1.47</c:v>
                </c:pt>
                <c:pt idx="3">
                  <c:v>2.52</c:v>
                </c:pt>
                <c:pt idx="4">
                  <c:v>3.29</c:v>
                </c:pt>
                <c:pt idx="5" formatCode="0.000">
                  <c:v>3.4833333333333334</c:v>
                </c:pt>
                <c:pt idx="6" formatCode="0.000">
                  <c:v>3.2366666666666668</c:v>
                </c:pt>
                <c:pt idx="7" formatCode="0.000">
                  <c:v>2.96</c:v>
                </c:pt>
                <c:pt idx="8" formatCode="0.000">
                  <c:v>2.0833333333333335</c:v>
                </c:pt>
                <c:pt idx="9" formatCode="0.000">
                  <c:v>1.5500000000000003</c:v>
                </c:pt>
              </c:numCache>
            </c:numRef>
          </c:xVal>
          <c:yVal>
            <c:numRef>
              <c:f>'TP-03 (3)'!$K$61:$K$74</c:f>
              <c:numCache>
                <c:formatCode>0.00</c:formatCode>
                <c:ptCount val="14"/>
                <c:pt idx="0">
                  <c:v>3.85</c:v>
                </c:pt>
                <c:pt idx="1">
                  <c:v>7.7</c:v>
                </c:pt>
                <c:pt idx="2">
                  <c:v>11.55</c:v>
                </c:pt>
                <c:pt idx="3">
                  <c:v>15.4</c:v>
                </c:pt>
                <c:pt idx="4">
                  <c:v>19.25</c:v>
                </c:pt>
                <c:pt idx="5">
                  <c:v>15.4</c:v>
                </c:pt>
                <c:pt idx="6">
                  <c:v>11.55</c:v>
                </c:pt>
                <c:pt idx="7">
                  <c:v>7.7</c:v>
                </c:pt>
                <c:pt idx="8">
                  <c:v>3.85</c:v>
                </c:pt>
                <c:pt idx="9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57-4073-B813-273CC7465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7008"/>
        <c:axId val="132909312"/>
      </c:scatterChart>
      <c:valAx>
        <c:axId val="132907008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Settlement in mm</a:t>
                </a:r>
              </a:p>
            </c:rich>
          </c:tx>
          <c:layout>
            <c:manualLayout>
              <c:xMode val="edge"/>
              <c:yMode val="edge"/>
              <c:x val="0.42950798277287205"/>
              <c:y val="0.908305269533616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09312"/>
        <c:crossesAt val="0.1"/>
        <c:crossBetween val="midCat"/>
      </c:valAx>
      <c:valAx>
        <c:axId val="132909312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t/m</a:t>
                </a:r>
                <a:r>
                  <a:rPr lang="en-IN" sz="1200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2.5811690665738605E-3"/>
              <c:y val="0.299725822733696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07008"/>
        <c:crossesAt val="0.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paperSize="9" orientation="landscape" horizontalDpi="120" verticalDpi="144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8865979381443324"/>
          <c:y val="1.60771795417464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70879517749392"/>
          <c:y val="0.21939234696081941"/>
          <c:w val="0.77319587628866082"/>
          <c:h val="0.7009646302250809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'TP-03 (3)'!$K$87:$K$101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3.85</c:v>
                </c:pt>
                <c:pt idx="2">
                  <c:v>7.7</c:v>
                </c:pt>
                <c:pt idx="3">
                  <c:v>11.55</c:v>
                </c:pt>
                <c:pt idx="4">
                  <c:v>15.4</c:v>
                </c:pt>
                <c:pt idx="5">
                  <c:v>19.25</c:v>
                </c:pt>
                <c:pt idx="6">
                  <c:v>15.4</c:v>
                </c:pt>
                <c:pt idx="7" formatCode="General">
                  <c:v>11.55</c:v>
                </c:pt>
                <c:pt idx="8" formatCode="General">
                  <c:v>7.7</c:v>
                </c:pt>
                <c:pt idx="9" formatCode="General">
                  <c:v>3.85</c:v>
                </c:pt>
                <c:pt idx="10" formatCode="General">
                  <c:v>0</c:v>
                </c:pt>
              </c:numCache>
            </c:numRef>
          </c:xVal>
          <c:yVal>
            <c:numRef>
              <c:f>'TP-03 (3)'!$L$87:$L$101</c:f>
              <c:numCache>
                <c:formatCode>0.00</c:formatCode>
                <c:ptCount val="15"/>
                <c:pt idx="0" formatCode="0.000">
                  <c:v>0</c:v>
                </c:pt>
                <c:pt idx="1">
                  <c:v>0.14666666666666667</c:v>
                </c:pt>
                <c:pt idx="2">
                  <c:v>0.41333333333333333</c:v>
                </c:pt>
                <c:pt idx="3">
                  <c:v>0.78333333333333321</c:v>
                </c:pt>
                <c:pt idx="4">
                  <c:v>1.2866666666666666</c:v>
                </c:pt>
                <c:pt idx="5">
                  <c:v>3.2066666666666666</c:v>
                </c:pt>
                <c:pt idx="6">
                  <c:v>3.2</c:v>
                </c:pt>
                <c:pt idx="7">
                  <c:v>3.1166666666666667</c:v>
                </c:pt>
                <c:pt idx="8">
                  <c:v>3.0333333333333332</c:v>
                </c:pt>
                <c:pt idx="9">
                  <c:v>2.96</c:v>
                </c:pt>
                <c:pt idx="10">
                  <c:v>2.8166666666666669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77-4589-9F7B-366CD0FDB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29792"/>
        <c:axId val="132952832"/>
      </c:scatterChart>
      <c:valAx>
        <c:axId val="13292979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975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t/m</a:t>
                </a:r>
                <a:r>
                  <a:rPr lang="en-IN" sz="975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0.45567010309278372"/>
              <c:y val="0.913183301411647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52832"/>
        <c:crossesAt val="0"/>
        <c:crossBetween val="midCat"/>
      </c:valAx>
      <c:valAx>
        <c:axId val="1329528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Settlement, mm</a:t>
                </a:r>
              </a:p>
            </c:rich>
          </c:tx>
          <c:layout>
            <c:manualLayout>
              <c:xMode val="edge"/>
              <c:yMode val="edge"/>
              <c:x val="4.5832508049895873E-2"/>
              <c:y val="0.371799319004043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29792"/>
        <c:crossesAt val="0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" verticalDpi="144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6141094241672824"/>
          <c:y val="2.24360993337371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00414937759351"/>
          <c:y val="0.12179525301498982"/>
          <c:w val="0.80912863070539465"/>
          <c:h val="0.7211561033782282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'TP-03 (4)'!$L$61:$L$74</c:f>
              <c:numCache>
                <c:formatCode>0.00</c:formatCode>
                <c:ptCount val="14"/>
                <c:pt idx="0">
                  <c:v>1.5049999999999999</c:v>
                </c:pt>
                <c:pt idx="1">
                  <c:v>2.5949999999999998</c:v>
                </c:pt>
                <c:pt idx="2">
                  <c:v>3.8299999999999996</c:v>
                </c:pt>
                <c:pt idx="3">
                  <c:v>5.0350000000000001</c:v>
                </c:pt>
                <c:pt idx="4">
                  <c:v>4.9000000000000004</c:v>
                </c:pt>
                <c:pt idx="5" formatCode="0.000">
                  <c:v>3.4833333333333334</c:v>
                </c:pt>
                <c:pt idx="6" formatCode="0.000">
                  <c:v>3.2366666666666668</c:v>
                </c:pt>
                <c:pt idx="7" formatCode="0.000">
                  <c:v>2.96</c:v>
                </c:pt>
                <c:pt idx="8" formatCode="0.000">
                  <c:v>2.0833333333333335</c:v>
                </c:pt>
                <c:pt idx="9" formatCode="0.000">
                  <c:v>1.5500000000000003</c:v>
                </c:pt>
              </c:numCache>
            </c:numRef>
          </c:xVal>
          <c:yVal>
            <c:numRef>
              <c:f>'TP-03 (4)'!$K$61:$K$74</c:f>
              <c:numCache>
                <c:formatCode>0.00</c:formatCode>
                <c:ptCount val="14"/>
                <c:pt idx="0">
                  <c:v>3.85</c:v>
                </c:pt>
                <c:pt idx="1">
                  <c:v>7.7</c:v>
                </c:pt>
                <c:pt idx="2">
                  <c:v>11.55</c:v>
                </c:pt>
                <c:pt idx="3">
                  <c:v>15.4</c:v>
                </c:pt>
                <c:pt idx="4">
                  <c:v>19.25</c:v>
                </c:pt>
                <c:pt idx="5">
                  <c:v>15.4</c:v>
                </c:pt>
                <c:pt idx="6">
                  <c:v>11.55</c:v>
                </c:pt>
                <c:pt idx="7">
                  <c:v>7.7</c:v>
                </c:pt>
                <c:pt idx="8">
                  <c:v>3.85</c:v>
                </c:pt>
                <c:pt idx="9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32-49E8-BB4F-D5393AC57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7008"/>
        <c:axId val="132909312"/>
      </c:scatterChart>
      <c:valAx>
        <c:axId val="132907008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Settlement in mm</a:t>
                </a:r>
              </a:p>
            </c:rich>
          </c:tx>
          <c:layout>
            <c:manualLayout>
              <c:xMode val="edge"/>
              <c:yMode val="edge"/>
              <c:x val="0.42950798277287205"/>
              <c:y val="0.908305269533616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09312"/>
        <c:crossesAt val="0.1"/>
        <c:crossBetween val="midCat"/>
      </c:valAx>
      <c:valAx>
        <c:axId val="132909312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t/m</a:t>
                </a:r>
                <a:r>
                  <a:rPr lang="en-IN" sz="1200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2.5811690665738605E-3"/>
              <c:y val="0.299725822733696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07008"/>
        <c:crossesAt val="0.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paperSize="9" orientation="landscape" horizontalDpi="120" verticalDpi="144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8865979381443324"/>
          <c:y val="1.60771795417464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70879517749392"/>
          <c:y val="0.21939234696081941"/>
          <c:w val="0.77319587628866082"/>
          <c:h val="0.7009646302250809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'TP-03 (4)'!$K$87:$K$101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3.85</c:v>
                </c:pt>
                <c:pt idx="2">
                  <c:v>7.7</c:v>
                </c:pt>
                <c:pt idx="3">
                  <c:v>11.55</c:v>
                </c:pt>
                <c:pt idx="4">
                  <c:v>15.4</c:v>
                </c:pt>
                <c:pt idx="5">
                  <c:v>19.25</c:v>
                </c:pt>
                <c:pt idx="6">
                  <c:v>15.4</c:v>
                </c:pt>
                <c:pt idx="7" formatCode="General">
                  <c:v>11.55</c:v>
                </c:pt>
                <c:pt idx="8" formatCode="General">
                  <c:v>7.7</c:v>
                </c:pt>
                <c:pt idx="9" formatCode="General">
                  <c:v>3.85</c:v>
                </c:pt>
                <c:pt idx="10" formatCode="General">
                  <c:v>0</c:v>
                </c:pt>
              </c:numCache>
            </c:numRef>
          </c:xVal>
          <c:yVal>
            <c:numRef>
              <c:f>'TP-03 (4)'!$L$87:$L$101</c:f>
              <c:numCache>
                <c:formatCode>0.00</c:formatCode>
                <c:ptCount val="15"/>
                <c:pt idx="0" formatCode="0.000">
                  <c:v>0</c:v>
                </c:pt>
                <c:pt idx="1">
                  <c:v>0.14666666666666667</c:v>
                </c:pt>
                <c:pt idx="2">
                  <c:v>0.41333333333333333</c:v>
                </c:pt>
                <c:pt idx="3">
                  <c:v>0.78333333333333321</c:v>
                </c:pt>
                <c:pt idx="4">
                  <c:v>1.2866666666666666</c:v>
                </c:pt>
                <c:pt idx="5">
                  <c:v>3.2066666666666666</c:v>
                </c:pt>
                <c:pt idx="6">
                  <c:v>3.2666666666666666</c:v>
                </c:pt>
                <c:pt idx="7">
                  <c:v>3.1933333333333334</c:v>
                </c:pt>
                <c:pt idx="8">
                  <c:v>3.09</c:v>
                </c:pt>
                <c:pt idx="9">
                  <c:v>2.9866666666666664</c:v>
                </c:pt>
                <c:pt idx="10">
                  <c:v>2.8899999999999997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BA-41EC-85FF-4A500BC9B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29792"/>
        <c:axId val="132952832"/>
      </c:scatterChart>
      <c:valAx>
        <c:axId val="13292979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975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t/m</a:t>
                </a:r>
                <a:r>
                  <a:rPr lang="en-IN" sz="975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0.45567010309278372"/>
              <c:y val="0.913183301411647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52832"/>
        <c:crossesAt val="0"/>
        <c:crossBetween val="midCat"/>
      </c:valAx>
      <c:valAx>
        <c:axId val="1329528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Settlement, mm</a:t>
                </a:r>
              </a:p>
            </c:rich>
          </c:tx>
          <c:layout>
            <c:manualLayout>
              <c:xMode val="edge"/>
              <c:yMode val="edge"/>
              <c:x val="4.5832508049895873E-2"/>
              <c:y val="0.371799319004043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29792"/>
        <c:crossesAt val="0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" verticalDpi="144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6141094241672824"/>
          <c:y val="2.24360993337371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00414937759351"/>
          <c:y val="0.12179525301498982"/>
          <c:w val="0.80912863070539465"/>
          <c:h val="0.7211561033782282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'TP-03 (5)'!$L$57:$L$70</c:f>
              <c:numCache>
                <c:formatCode>0.00</c:formatCode>
                <c:ptCount val="14"/>
                <c:pt idx="0">
                  <c:v>1.1800000000000002</c:v>
                </c:pt>
                <c:pt idx="1">
                  <c:v>2.02</c:v>
                </c:pt>
                <c:pt idx="2">
                  <c:v>3.08</c:v>
                </c:pt>
                <c:pt idx="3">
                  <c:v>4.42</c:v>
                </c:pt>
                <c:pt idx="4">
                  <c:v>6.7750000000000004</c:v>
                </c:pt>
                <c:pt idx="5" formatCode="0.000">
                  <c:v>3.4833333333333334</c:v>
                </c:pt>
                <c:pt idx="6" formatCode="0.000">
                  <c:v>3.2366666666666668</c:v>
                </c:pt>
                <c:pt idx="7" formatCode="0.000">
                  <c:v>2.96</c:v>
                </c:pt>
                <c:pt idx="8" formatCode="0.000">
                  <c:v>2.0833333333333335</c:v>
                </c:pt>
                <c:pt idx="9" formatCode="0.000">
                  <c:v>1.5500000000000003</c:v>
                </c:pt>
              </c:numCache>
            </c:numRef>
          </c:xVal>
          <c:yVal>
            <c:numRef>
              <c:f>'TP-03 (5)'!$K$57:$K$70</c:f>
              <c:numCache>
                <c:formatCode>0.00</c:formatCode>
                <c:ptCount val="14"/>
                <c:pt idx="0">
                  <c:v>3.08</c:v>
                </c:pt>
                <c:pt idx="1">
                  <c:v>6.16</c:v>
                </c:pt>
                <c:pt idx="2">
                  <c:v>9.24</c:v>
                </c:pt>
                <c:pt idx="3">
                  <c:v>12.32</c:v>
                </c:pt>
                <c:pt idx="4">
                  <c:v>14.63</c:v>
                </c:pt>
                <c:pt idx="5">
                  <c:v>12.32</c:v>
                </c:pt>
                <c:pt idx="6">
                  <c:v>9.24</c:v>
                </c:pt>
                <c:pt idx="7">
                  <c:v>6.16</c:v>
                </c:pt>
                <c:pt idx="8">
                  <c:v>3.08</c:v>
                </c:pt>
                <c:pt idx="9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44-49A6-B0D6-E1850C5EA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7008"/>
        <c:axId val="132909312"/>
      </c:scatterChart>
      <c:valAx>
        <c:axId val="132907008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Settlement in mm</a:t>
                </a:r>
              </a:p>
            </c:rich>
          </c:tx>
          <c:layout>
            <c:manualLayout>
              <c:xMode val="edge"/>
              <c:yMode val="edge"/>
              <c:x val="0.42950798277287205"/>
              <c:y val="0.908305269533616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09312"/>
        <c:crossesAt val="0.1"/>
        <c:crossBetween val="midCat"/>
      </c:valAx>
      <c:valAx>
        <c:axId val="132909312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t/m</a:t>
                </a:r>
                <a:r>
                  <a:rPr lang="en-IN" sz="1200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2.5811690665738605E-3"/>
              <c:y val="0.299725822733696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07008"/>
        <c:crossesAt val="0.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paperSize="9" orientation="landscape" horizontalDpi="120" verticalDpi="144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8865979381443324"/>
          <c:y val="1.60771795417464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70879517749392"/>
          <c:y val="0.21939234696081941"/>
          <c:w val="0.77319587628866082"/>
          <c:h val="0.7009646302250809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'TP-03 (5)'!$K$83:$K$97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3.85</c:v>
                </c:pt>
                <c:pt idx="2">
                  <c:v>7.7</c:v>
                </c:pt>
                <c:pt idx="3">
                  <c:v>11.55</c:v>
                </c:pt>
                <c:pt idx="4">
                  <c:v>15.4</c:v>
                </c:pt>
                <c:pt idx="5">
                  <c:v>19.25</c:v>
                </c:pt>
                <c:pt idx="6">
                  <c:v>15.4</c:v>
                </c:pt>
                <c:pt idx="7" formatCode="General">
                  <c:v>11.55</c:v>
                </c:pt>
                <c:pt idx="8" formatCode="General">
                  <c:v>7.7</c:v>
                </c:pt>
                <c:pt idx="9" formatCode="General">
                  <c:v>3.85</c:v>
                </c:pt>
                <c:pt idx="10" formatCode="General">
                  <c:v>0</c:v>
                </c:pt>
              </c:numCache>
            </c:numRef>
          </c:xVal>
          <c:yVal>
            <c:numRef>
              <c:f>'TP-03 (5)'!$L$83:$L$97</c:f>
              <c:numCache>
                <c:formatCode>0.00</c:formatCode>
                <c:ptCount val="15"/>
                <c:pt idx="0" formatCode="0.000">
                  <c:v>0</c:v>
                </c:pt>
                <c:pt idx="1">
                  <c:v>0.14666666666666667</c:v>
                </c:pt>
                <c:pt idx="2">
                  <c:v>0.41333333333333333</c:v>
                </c:pt>
                <c:pt idx="3">
                  <c:v>0.78333333333333321</c:v>
                </c:pt>
                <c:pt idx="4">
                  <c:v>1.2866666666666666</c:v>
                </c:pt>
                <c:pt idx="5">
                  <c:v>3.2066666666666666</c:v>
                </c:pt>
                <c:pt idx="6">
                  <c:v>3.2233333333333336</c:v>
                </c:pt>
                <c:pt idx="7">
                  <c:v>3.1433333333333335</c:v>
                </c:pt>
                <c:pt idx="8">
                  <c:v>3.0700000000000003</c:v>
                </c:pt>
                <c:pt idx="9">
                  <c:v>3.0000000000000004</c:v>
                </c:pt>
                <c:pt idx="10">
                  <c:v>2.8800000000000008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B4-4C50-9CD6-459BF68E6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29792"/>
        <c:axId val="132952832"/>
      </c:scatterChart>
      <c:valAx>
        <c:axId val="13292979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975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t/m</a:t>
                </a:r>
                <a:r>
                  <a:rPr lang="en-IN" sz="975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0.45567010309278372"/>
              <c:y val="0.913183301411647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52832"/>
        <c:crossesAt val="0"/>
        <c:crossBetween val="midCat"/>
      </c:valAx>
      <c:valAx>
        <c:axId val="1329528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Settlement, mm</a:t>
                </a:r>
              </a:p>
            </c:rich>
          </c:tx>
          <c:layout>
            <c:manualLayout>
              <c:xMode val="edge"/>
              <c:yMode val="edge"/>
              <c:x val="4.5832508049895873E-2"/>
              <c:y val="0.371799319004043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29792"/>
        <c:crossesAt val="0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" verticalDpi="144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6141094241672824"/>
          <c:y val="2.24360993337371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00414937759351"/>
          <c:y val="0.12179525301498982"/>
          <c:w val="0.80912863070539465"/>
          <c:h val="0.7211561033782282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'AIGIS-T409-P14'!$K$57:$K$70</c:f>
              <c:numCache>
                <c:formatCode>0.00</c:formatCode>
                <c:ptCount val="14"/>
                <c:pt idx="0">
                  <c:v>1.24</c:v>
                </c:pt>
                <c:pt idx="1">
                  <c:v>3.5350000000000001</c:v>
                </c:pt>
                <c:pt idx="2">
                  <c:v>5.41</c:v>
                </c:pt>
                <c:pt idx="3">
                  <c:v>6.4499999999999993</c:v>
                </c:pt>
                <c:pt idx="4">
                  <c:v>7.8649999999999984</c:v>
                </c:pt>
                <c:pt idx="5" formatCode="0.000">
                  <c:v>7.754999999999999</c:v>
                </c:pt>
                <c:pt idx="6" formatCode="0.000">
                  <c:v>7.4749999999999988</c:v>
                </c:pt>
                <c:pt idx="7" formatCode="0.000">
                  <c:v>6.6949999999999985</c:v>
                </c:pt>
                <c:pt idx="8" formatCode="0.000">
                  <c:v>6.0349999999999984</c:v>
                </c:pt>
                <c:pt idx="9" formatCode="0.000">
                  <c:v>5.0899999999999981</c:v>
                </c:pt>
              </c:numCache>
            </c:numRef>
          </c:xVal>
          <c:yVal>
            <c:numRef>
              <c:f>'AIGIS-T409-P14'!$J$57:$J$70</c:f>
              <c:numCache>
                <c:formatCode>0.00</c:formatCode>
                <c:ptCount val="14"/>
                <c:pt idx="0">
                  <c:v>3.08</c:v>
                </c:pt>
                <c:pt idx="1">
                  <c:v>6.16</c:v>
                </c:pt>
                <c:pt idx="2">
                  <c:v>9.24</c:v>
                </c:pt>
                <c:pt idx="3">
                  <c:v>12.32</c:v>
                </c:pt>
                <c:pt idx="4">
                  <c:v>14.63</c:v>
                </c:pt>
                <c:pt idx="5">
                  <c:v>12.32</c:v>
                </c:pt>
                <c:pt idx="6">
                  <c:v>9.24</c:v>
                </c:pt>
                <c:pt idx="7">
                  <c:v>6.16</c:v>
                </c:pt>
                <c:pt idx="8">
                  <c:v>3.08</c:v>
                </c:pt>
                <c:pt idx="9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E0-4C87-AEF6-4726A1226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7008"/>
        <c:axId val="132909312"/>
      </c:scatterChart>
      <c:valAx>
        <c:axId val="132907008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Settlement in mm</a:t>
                </a:r>
              </a:p>
            </c:rich>
          </c:tx>
          <c:layout>
            <c:manualLayout>
              <c:xMode val="edge"/>
              <c:yMode val="edge"/>
              <c:x val="0.42950798277287205"/>
              <c:y val="0.908305269533616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09312"/>
        <c:crossesAt val="0.1"/>
        <c:crossBetween val="midCat"/>
      </c:valAx>
      <c:valAx>
        <c:axId val="132909312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t/m</a:t>
                </a:r>
                <a:r>
                  <a:rPr lang="en-IN" sz="1200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2.5811690665738605E-3"/>
              <c:y val="0.299725822733696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07008"/>
        <c:crossesAt val="0.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paperSize="9" orientation="landscape" horizontalDpi="120" verticalDpi="144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8865979381443324"/>
          <c:y val="1.60771795417464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70879517749392"/>
          <c:y val="0.21939234696081941"/>
          <c:w val="0.77319587628866082"/>
          <c:h val="0.7009646302250809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'AIGIS-T409-P14'!$J$83:$J$97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3.08</c:v>
                </c:pt>
                <c:pt idx="2">
                  <c:v>6.16</c:v>
                </c:pt>
                <c:pt idx="3">
                  <c:v>9.24</c:v>
                </c:pt>
                <c:pt idx="4">
                  <c:v>12.32</c:v>
                </c:pt>
                <c:pt idx="5">
                  <c:v>14.63</c:v>
                </c:pt>
                <c:pt idx="6">
                  <c:v>12.32</c:v>
                </c:pt>
                <c:pt idx="7" formatCode="General">
                  <c:v>9.24</c:v>
                </c:pt>
                <c:pt idx="8" formatCode="General">
                  <c:v>6.16</c:v>
                </c:pt>
                <c:pt idx="9" formatCode="General">
                  <c:v>3.08</c:v>
                </c:pt>
                <c:pt idx="10" formatCode="General">
                  <c:v>0</c:v>
                </c:pt>
              </c:numCache>
            </c:numRef>
          </c:xVal>
          <c:yVal>
            <c:numRef>
              <c:f>'AIGIS-T409-P14'!$K$83:$K$97</c:f>
              <c:numCache>
                <c:formatCode>0.00</c:formatCode>
                <c:ptCount val="15"/>
                <c:pt idx="0" formatCode="0.000">
                  <c:v>0</c:v>
                </c:pt>
                <c:pt idx="1">
                  <c:v>1.24</c:v>
                </c:pt>
                <c:pt idx="2">
                  <c:v>3.5350000000000001</c:v>
                </c:pt>
                <c:pt idx="3">
                  <c:v>5.41</c:v>
                </c:pt>
                <c:pt idx="4">
                  <c:v>6.4499999999999993</c:v>
                </c:pt>
                <c:pt idx="5">
                  <c:v>7.8649999999999984</c:v>
                </c:pt>
                <c:pt idx="6">
                  <c:v>7.754999999999999</c:v>
                </c:pt>
                <c:pt idx="7">
                  <c:v>7.4749999999999988</c:v>
                </c:pt>
                <c:pt idx="8">
                  <c:v>6.6949999999999985</c:v>
                </c:pt>
                <c:pt idx="9">
                  <c:v>6.0349999999999984</c:v>
                </c:pt>
                <c:pt idx="10">
                  <c:v>5.0899999999999981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F6-4F17-8810-0ABA3AE1F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29792"/>
        <c:axId val="132952832"/>
      </c:scatterChart>
      <c:valAx>
        <c:axId val="13292979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975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t/m</a:t>
                </a:r>
                <a:r>
                  <a:rPr lang="en-IN" sz="975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0.45567010309278372"/>
              <c:y val="0.913183301411647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52832"/>
        <c:crossesAt val="0"/>
        <c:crossBetween val="midCat"/>
        <c:majorUnit val="2"/>
      </c:valAx>
      <c:valAx>
        <c:axId val="1329528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Settlement, mm</a:t>
                </a:r>
              </a:p>
            </c:rich>
          </c:tx>
          <c:layout>
            <c:manualLayout>
              <c:xMode val="edge"/>
              <c:yMode val="edge"/>
              <c:x val="4.5832508049895873E-2"/>
              <c:y val="0.371799319004043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29792"/>
        <c:crossesAt val="0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" verticalDpi="144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6141094241672824"/>
          <c:y val="2.24360993337371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00414937759351"/>
          <c:y val="0.12179525301498982"/>
          <c:w val="0.80912863070539465"/>
          <c:h val="0.7211561033782282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'AIGIS-T412'!$L$57:$L$70</c:f>
              <c:numCache>
                <c:formatCode>0.00</c:formatCode>
                <c:ptCount val="14"/>
                <c:pt idx="0">
                  <c:v>0.26500000000000001</c:v>
                </c:pt>
                <c:pt idx="1">
                  <c:v>1.6800000000000002</c:v>
                </c:pt>
                <c:pt idx="2">
                  <c:v>3.72</c:v>
                </c:pt>
                <c:pt idx="3">
                  <c:v>5.58</c:v>
                </c:pt>
                <c:pt idx="4">
                  <c:v>7.5150000000000006</c:v>
                </c:pt>
                <c:pt idx="5" formatCode="0.000">
                  <c:v>7.4450000000000003</c:v>
                </c:pt>
                <c:pt idx="6" formatCode="0.000">
                  <c:v>7.35</c:v>
                </c:pt>
                <c:pt idx="7" formatCode="0.000">
                  <c:v>6.0399999999999991</c:v>
                </c:pt>
                <c:pt idx="8" formatCode="0.000">
                  <c:v>3.7649999999999997</c:v>
                </c:pt>
                <c:pt idx="9" formatCode="0.000">
                  <c:v>3.42</c:v>
                </c:pt>
              </c:numCache>
            </c:numRef>
          </c:xVal>
          <c:yVal>
            <c:numRef>
              <c:f>'AIGIS-T412'!$K$57:$K$70</c:f>
              <c:numCache>
                <c:formatCode>0.00</c:formatCode>
                <c:ptCount val="14"/>
                <c:pt idx="0">
                  <c:v>3.08</c:v>
                </c:pt>
                <c:pt idx="1">
                  <c:v>6.16</c:v>
                </c:pt>
                <c:pt idx="2">
                  <c:v>9.24</c:v>
                </c:pt>
                <c:pt idx="3">
                  <c:v>12.32</c:v>
                </c:pt>
                <c:pt idx="4">
                  <c:v>14.63</c:v>
                </c:pt>
                <c:pt idx="5">
                  <c:v>12.32</c:v>
                </c:pt>
                <c:pt idx="6">
                  <c:v>9.24</c:v>
                </c:pt>
                <c:pt idx="7">
                  <c:v>6.16</c:v>
                </c:pt>
                <c:pt idx="8">
                  <c:v>3.08</c:v>
                </c:pt>
                <c:pt idx="9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84-4613-B80E-D07FD4B7F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7008"/>
        <c:axId val="132909312"/>
      </c:scatterChart>
      <c:valAx>
        <c:axId val="132907008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Settlement in mm</a:t>
                </a:r>
              </a:p>
            </c:rich>
          </c:tx>
          <c:layout>
            <c:manualLayout>
              <c:xMode val="edge"/>
              <c:yMode val="edge"/>
              <c:x val="0.42950798277287205"/>
              <c:y val="0.908305269533616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09312"/>
        <c:crossesAt val="0.1"/>
        <c:crossBetween val="midCat"/>
      </c:valAx>
      <c:valAx>
        <c:axId val="132909312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t/m</a:t>
                </a:r>
                <a:r>
                  <a:rPr lang="en-IN" sz="1200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IN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endParaRPr>
              </a:p>
            </c:rich>
          </c:tx>
          <c:layout>
            <c:manualLayout>
              <c:xMode val="edge"/>
              <c:yMode val="edge"/>
              <c:x val="2.5811690665738605E-3"/>
              <c:y val="0.299725822733696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07008"/>
        <c:crossesAt val="0.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paperSize="9" orientation="landscape" horizontalDpi="120" verticalDpi="144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IN"/>
              <a:t> LOAD  SETTLEMENT  CURVE</a:t>
            </a:r>
          </a:p>
        </c:rich>
      </c:tx>
      <c:layout>
        <c:manualLayout>
          <c:xMode val="edge"/>
          <c:yMode val="edge"/>
          <c:x val="0.28865979381443324"/>
          <c:y val="1.60771795417464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70879517749392"/>
          <c:y val="0.21939234696081941"/>
          <c:w val="0.77319587628866082"/>
          <c:h val="0.7009646302250809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'AIGIS-T412'!$K$83:$K$97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3.08</c:v>
                </c:pt>
                <c:pt idx="2">
                  <c:v>6.16</c:v>
                </c:pt>
                <c:pt idx="3">
                  <c:v>9.24</c:v>
                </c:pt>
                <c:pt idx="4">
                  <c:v>12.32</c:v>
                </c:pt>
                <c:pt idx="5">
                  <c:v>14.63</c:v>
                </c:pt>
                <c:pt idx="6">
                  <c:v>12.32</c:v>
                </c:pt>
                <c:pt idx="7" formatCode="General">
                  <c:v>9.24</c:v>
                </c:pt>
                <c:pt idx="8" formatCode="General">
                  <c:v>6.16</c:v>
                </c:pt>
                <c:pt idx="9" formatCode="General">
                  <c:v>3.08</c:v>
                </c:pt>
                <c:pt idx="10" formatCode="General">
                  <c:v>0</c:v>
                </c:pt>
              </c:numCache>
            </c:numRef>
          </c:xVal>
          <c:yVal>
            <c:numRef>
              <c:f>'AIGIS-T412'!$L$83:$L$97</c:f>
              <c:numCache>
                <c:formatCode>0.00</c:formatCode>
                <c:ptCount val="15"/>
                <c:pt idx="0" formatCode="0.000">
                  <c:v>0</c:v>
                </c:pt>
                <c:pt idx="1">
                  <c:v>0.26500000000000001</c:v>
                </c:pt>
                <c:pt idx="2">
                  <c:v>1.6800000000000002</c:v>
                </c:pt>
                <c:pt idx="3">
                  <c:v>3.72</c:v>
                </c:pt>
                <c:pt idx="4">
                  <c:v>5.58</c:v>
                </c:pt>
                <c:pt idx="5">
                  <c:v>7.5150000000000006</c:v>
                </c:pt>
                <c:pt idx="6">
                  <c:v>7.4450000000000003</c:v>
                </c:pt>
                <c:pt idx="7">
                  <c:v>7.35</c:v>
                </c:pt>
                <c:pt idx="8">
                  <c:v>6.0399999999999991</c:v>
                </c:pt>
                <c:pt idx="9">
                  <c:v>3.7649999999999997</c:v>
                </c:pt>
                <c:pt idx="10">
                  <c:v>3.42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73-4634-BDE1-DD5F4573D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29792"/>
        <c:axId val="132952832"/>
      </c:scatterChart>
      <c:valAx>
        <c:axId val="13292979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975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Load in t/m</a:t>
                </a:r>
                <a:r>
                  <a:rPr lang="en-IN" sz="975" b="0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0.45567010309278372"/>
              <c:y val="0.913183301411647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52832"/>
        <c:crossesAt val="0"/>
        <c:crossBetween val="midCat"/>
        <c:majorUnit val="2"/>
      </c:valAx>
      <c:valAx>
        <c:axId val="1329528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IN"/>
                  <a:t>Settlement, mm</a:t>
                </a:r>
              </a:p>
            </c:rich>
          </c:tx>
          <c:layout>
            <c:manualLayout>
              <c:xMode val="edge"/>
              <c:yMode val="edge"/>
              <c:x val="4.5832508049895873E-2"/>
              <c:y val="0.371799319004043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929792"/>
        <c:crossesAt val="0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" verticalDpi="14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56</xdr:row>
      <xdr:rowOff>72390</xdr:rowOff>
    </xdr:from>
    <xdr:to>
      <xdr:col>18</xdr:col>
      <xdr:colOff>441960</xdr:colOff>
      <xdr:row>69</xdr:row>
      <xdr:rowOff>40005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4AF31D-EFB1-4390-89B2-D63D90B01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487680</xdr:colOff>
      <xdr:row>84</xdr:row>
      <xdr:rowOff>50651</xdr:rowOff>
    </xdr:from>
    <xdr:to>
      <xdr:col>20</xdr:col>
      <xdr:colOff>236220</xdr:colOff>
      <xdr:row>100</xdr:row>
      <xdr:rowOff>81131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506128-2797-4932-9EA2-4DFD809E1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56</xdr:row>
      <xdr:rowOff>72390</xdr:rowOff>
    </xdr:from>
    <xdr:to>
      <xdr:col>18</xdr:col>
      <xdr:colOff>441960</xdr:colOff>
      <xdr:row>69</xdr:row>
      <xdr:rowOff>40005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64FA4-6ADB-4A3C-837E-6D4F17ADF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487680</xdr:colOff>
      <xdr:row>84</xdr:row>
      <xdr:rowOff>50651</xdr:rowOff>
    </xdr:from>
    <xdr:to>
      <xdr:col>20</xdr:col>
      <xdr:colOff>236220</xdr:colOff>
      <xdr:row>100</xdr:row>
      <xdr:rowOff>81131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092501-B0F6-4B9B-9D34-5F8835C74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56</xdr:row>
      <xdr:rowOff>72390</xdr:rowOff>
    </xdr:from>
    <xdr:to>
      <xdr:col>18</xdr:col>
      <xdr:colOff>441960</xdr:colOff>
      <xdr:row>69</xdr:row>
      <xdr:rowOff>40005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52232-E30A-4377-9053-CBE0BCD01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487680</xdr:colOff>
      <xdr:row>84</xdr:row>
      <xdr:rowOff>50651</xdr:rowOff>
    </xdr:from>
    <xdr:to>
      <xdr:col>20</xdr:col>
      <xdr:colOff>236220</xdr:colOff>
      <xdr:row>100</xdr:row>
      <xdr:rowOff>81131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4AB26-5214-4B84-B29E-749F185B4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56</xdr:row>
      <xdr:rowOff>72390</xdr:rowOff>
    </xdr:from>
    <xdr:to>
      <xdr:col>18</xdr:col>
      <xdr:colOff>441960</xdr:colOff>
      <xdr:row>69</xdr:row>
      <xdr:rowOff>40005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156C11-BDB6-425C-A31E-388B9FFC2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487680</xdr:colOff>
      <xdr:row>84</xdr:row>
      <xdr:rowOff>50651</xdr:rowOff>
    </xdr:from>
    <xdr:to>
      <xdr:col>20</xdr:col>
      <xdr:colOff>236220</xdr:colOff>
      <xdr:row>100</xdr:row>
      <xdr:rowOff>81131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124D14-F08A-410E-8F02-ABE3DBA48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52</xdr:row>
      <xdr:rowOff>72390</xdr:rowOff>
    </xdr:from>
    <xdr:to>
      <xdr:col>18</xdr:col>
      <xdr:colOff>441960</xdr:colOff>
      <xdr:row>65</xdr:row>
      <xdr:rowOff>40005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977B5-A61F-4CC4-B4FE-0B88F241C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487680</xdr:colOff>
      <xdr:row>80</xdr:row>
      <xdr:rowOff>50651</xdr:rowOff>
    </xdr:from>
    <xdr:to>
      <xdr:col>20</xdr:col>
      <xdr:colOff>236220</xdr:colOff>
      <xdr:row>96</xdr:row>
      <xdr:rowOff>81131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E0D4D7-723F-4E60-A035-6509BD4DD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91</xdr:row>
      <xdr:rowOff>112059</xdr:rowOff>
    </xdr:from>
    <xdr:to>
      <xdr:col>18</xdr:col>
      <xdr:colOff>313765</xdr:colOff>
      <xdr:row>91</xdr:row>
      <xdr:rowOff>112059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D1D3498-BF83-8FB4-BDFA-A3DE3A66D54A}"/>
            </a:ext>
          </a:extLst>
        </xdr:cNvPr>
        <xdr:cNvCxnSpPr/>
      </xdr:nvCxnSpPr>
      <xdr:spPr>
        <a:xfrm>
          <a:off x="12326471" y="14399559"/>
          <a:ext cx="273423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280149</xdr:colOff>
      <xdr:row>82</xdr:row>
      <xdr:rowOff>134470</xdr:rowOff>
    </xdr:from>
    <xdr:to>
      <xdr:col>18</xdr:col>
      <xdr:colOff>280149</xdr:colOff>
      <xdr:row>92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66C98C6-0542-BACD-565D-029DD71017C5}"/>
            </a:ext>
          </a:extLst>
        </xdr:cNvPr>
        <xdr:cNvCxnSpPr/>
      </xdr:nvCxnSpPr>
      <xdr:spPr>
        <a:xfrm>
          <a:off x="15027090" y="13010029"/>
          <a:ext cx="0" cy="14343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52</xdr:row>
      <xdr:rowOff>72390</xdr:rowOff>
    </xdr:from>
    <xdr:to>
      <xdr:col>17</xdr:col>
      <xdr:colOff>441960</xdr:colOff>
      <xdr:row>65</xdr:row>
      <xdr:rowOff>40005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32AD00-CB6E-4460-A659-565532C0E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487680</xdr:colOff>
      <xdr:row>80</xdr:row>
      <xdr:rowOff>50651</xdr:rowOff>
    </xdr:from>
    <xdr:to>
      <xdr:col>19</xdr:col>
      <xdr:colOff>236220</xdr:colOff>
      <xdr:row>96</xdr:row>
      <xdr:rowOff>81131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8A6D8A-570D-43C2-862F-BA6627607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89</xdr:row>
      <xdr:rowOff>113458</xdr:rowOff>
    </xdr:from>
    <xdr:to>
      <xdr:col>16</xdr:col>
      <xdr:colOff>75061</xdr:colOff>
      <xdr:row>89</xdr:row>
      <xdr:rowOff>113458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EFF9E3F-2A12-F490-488E-A8924488A286}"/>
            </a:ext>
          </a:extLst>
        </xdr:cNvPr>
        <xdr:cNvCxnSpPr/>
      </xdr:nvCxnSpPr>
      <xdr:spPr>
        <a:xfrm>
          <a:off x="8224630" y="14285001"/>
          <a:ext cx="19138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32665</xdr:colOff>
      <xdr:row>82</xdr:row>
      <xdr:rowOff>141900</xdr:rowOff>
    </xdr:from>
    <xdr:to>
      <xdr:col>16</xdr:col>
      <xdr:colOff>32665</xdr:colOff>
      <xdr:row>89</xdr:row>
      <xdr:rowOff>125335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54D6403-740C-8EA2-0A91-62E5FC47C5BF}"/>
            </a:ext>
          </a:extLst>
        </xdr:cNvPr>
        <xdr:cNvCxnSpPr/>
      </xdr:nvCxnSpPr>
      <xdr:spPr>
        <a:xfrm flipV="1">
          <a:off x="10096035" y="13153878"/>
          <a:ext cx="0" cy="1143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52</xdr:row>
      <xdr:rowOff>72390</xdr:rowOff>
    </xdr:from>
    <xdr:to>
      <xdr:col>18</xdr:col>
      <xdr:colOff>441960</xdr:colOff>
      <xdr:row>65</xdr:row>
      <xdr:rowOff>40005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D49B6-A5A8-4747-B357-46C196BD5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487680</xdr:colOff>
      <xdr:row>80</xdr:row>
      <xdr:rowOff>50651</xdr:rowOff>
    </xdr:from>
    <xdr:to>
      <xdr:col>20</xdr:col>
      <xdr:colOff>236220</xdr:colOff>
      <xdr:row>96</xdr:row>
      <xdr:rowOff>81131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158BA2-557C-4FFC-998F-8E637EC33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607377</xdr:colOff>
      <xdr:row>89</xdr:row>
      <xdr:rowOff>112700</xdr:rowOff>
    </xdr:from>
    <xdr:to>
      <xdr:col>18</xdr:col>
      <xdr:colOff>100095</xdr:colOff>
      <xdr:row>89</xdr:row>
      <xdr:rowOff>112700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509E388-0BDB-44FF-B7E1-625A9065BCFF}"/>
            </a:ext>
          </a:extLst>
        </xdr:cNvPr>
        <xdr:cNvCxnSpPr/>
      </xdr:nvCxnSpPr>
      <xdr:spPr>
        <a:xfrm>
          <a:off x="8212723" y="14187719"/>
          <a:ext cx="253339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77146</xdr:colOff>
      <xdr:row>82</xdr:row>
      <xdr:rowOff>133786</xdr:rowOff>
    </xdr:from>
    <xdr:to>
      <xdr:col>18</xdr:col>
      <xdr:colOff>77146</xdr:colOff>
      <xdr:row>89</xdr:row>
      <xdr:rowOff>117221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CE504D9-A4E8-4D09-804F-AD25D7739BAB}"/>
            </a:ext>
          </a:extLst>
        </xdr:cNvPr>
        <xdr:cNvCxnSpPr/>
      </xdr:nvCxnSpPr>
      <xdr:spPr>
        <a:xfrm flipV="1">
          <a:off x="10723165" y="13080459"/>
          <a:ext cx="0" cy="1111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"/>
  <sheetViews>
    <sheetView topLeftCell="A18" zoomScaleNormal="100" workbookViewId="0">
      <selection activeCell="H37" sqref="H37:H42"/>
    </sheetView>
  </sheetViews>
  <sheetFormatPr defaultRowHeight="12.75" x14ac:dyDescent="0.2"/>
  <cols>
    <col min="1" max="2" width="10.5703125" style="1" customWidth="1"/>
    <col min="3" max="3" width="10.5703125" style="1" hidden="1" customWidth="1"/>
    <col min="4" max="7" width="10.5703125" style="1" customWidth="1"/>
    <col min="8" max="8" width="11.42578125" style="1" customWidth="1"/>
    <col min="9" max="9" width="11.7109375" style="1" customWidth="1"/>
    <col min="10" max="11" width="9.140625" style="1"/>
    <col min="12" max="12" width="10.7109375" style="1" customWidth="1"/>
    <col min="13" max="20" width="9.140625" style="1"/>
    <col min="21" max="21" width="9.42578125" style="1" customWidth="1"/>
    <col min="22" max="182" width="9.140625" style="1"/>
    <col min="183" max="183" width="10.7109375" style="1" customWidth="1"/>
    <col min="184" max="191" width="9.140625" style="1"/>
    <col min="192" max="192" width="9.42578125" style="1" customWidth="1"/>
    <col min="193" max="438" width="9.140625" style="1"/>
    <col min="439" max="439" width="10.7109375" style="1" customWidth="1"/>
    <col min="440" max="447" width="9.140625" style="1"/>
    <col min="448" max="448" width="9.42578125" style="1" customWidth="1"/>
    <col min="449" max="694" width="9.140625" style="1"/>
    <col min="695" max="695" width="10.7109375" style="1" customWidth="1"/>
    <col min="696" max="703" width="9.140625" style="1"/>
    <col min="704" max="704" width="9.42578125" style="1" customWidth="1"/>
    <col min="705" max="950" width="9.140625" style="1"/>
    <col min="951" max="951" width="10.7109375" style="1" customWidth="1"/>
    <col min="952" max="959" width="9.140625" style="1"/>
    <col min="960" max="960" width="9.42578125" style="1" customWidth="1"/>
    <col min="961" max="1206" width="9.140625" style="1"/>
    <col min="1207" max="1207" width="10.7109375" style="1" customWidth="1"/>
    <col min="1208" max="1215" width="9.140625" style="1"/>
    <col min="1216" max="1216" width="9.42578125" style="1" customWidth="1"/>
    <col min="1217" max="1462" width="9.140625" style="1"/>
    <col min="1463" max="1463" width="10.7109375" style="1" customWidth="1"/>
    <col min="1464" max="1471" width="9.140625" style="1"/>
    <col min="1472" max="1472" width="9.42578125" style="1" customWidth="1"/>
    <col min="1473" max="1718" width="9.140625" style="1"/>
    <col min="1719" max="1719" width="10.7109375" style="1" customWidth="1"/>
    <col min="1720" max="1727" width="9.140625" style="1"/>
    <col min="1728" max="1728" width="9.42578125" style="1" customWidth="1"/>
    <col min="1729" max="1974" width="9.140625" style="1"/>
    <col min="1975" max="1975" width="10.7109375" style="1" customWidth="1"/>
    <col min="1976" max="1983" width="9.140625" style="1"/>
    <col min="1984" max="1984" width="9.42578125" style="1" customWidth="1"/>
    <col min="1985" max="2230" width="9.140625" style="1"/>
    <col min="2231" max="2231" width="10.7109375" style="1" customWidth="1"/>
    <col min="2232" max="2239" width="9.140625" style="1"/>
    <col min="2240" max="2240" width="9.42578125" style="1" customWidth="1"/>
    <col min="2241" max="2486" width="9.140625" style="1"/>
    <col min="2487" max="2487" width="10.7109375" style="1" customWidth="1"/>
    <col min="2488" max="2495" width="9.140625" style="1"/>
    <col min="2496" max="2496" width="9.42578125" style="1" customWidth="1"/>
    <col min="2497" max="2742" width="9.140625" style="1"/>
    <col min="2743" max="2743" width="10.7109375" style="1" customWidth="1"/>
    <col min="2744" max="2751" width="9.140625" style="1"/>
    <col min="2752" max="2752" width="9.42578125" style="1" customWidth="1"/>
    <col min="2753" max="2998" width="9.140625" style="1"/>
    <col min="2999" max="2999" width="10.7109375" style="1" customWidth="1"/>
    <col min="3000" max="3007" width="9.140625" style="1"/>
    <col min="3008" max="3008" width="9.42578125" style="1" customWidth="1"/>
    <col min="3009" max="3254" width="9.140625" style="1"/>
    <col min="3255" max="3255" width="10.7109375" style="1" customWidth="1"/>
    <col min="3256" max="3263" width="9.140625" style="1"/>
    <col min="3264" max="3264" width="9.42578125" style="1" customWidth="1"/>
    <col min="3265" max="3510" width="9.140625" style="1"/>
    <col min="3511" max="3511" width="10.7109375" style="1" customWidth="1"/>
    <col min="3512" max="3519" width="9.140625" style="1"/>
    <col min="3520" max="3520" width="9.42578125" style="1" customWidth="1"/>
    <col min="3521" max="3766" width="9.140625" style="1"/>
    <col min="3767" max="3767" width="10.7109375" style="1" customWidth="1"/>
    <col min="3768" max="3775" width="9.140625" style="1"/>
    <col min="3776" max="3776" width="9.42578125" style="1" customWidth="1"/>
    <col min="3777" max="4022" width="9.140625" style="1"/>
    <col min="4023" max="4023" width="10.7109375" style="1" customWidth="1"/>
    <col min="4024" max="4031" width="9.140625" style="1"/>
    <col min="4032" max="4032" width="9.42578125" style="1" customWidth="1"/>
    <col min="4033" max="4278" width="9.140625" style="1"/>
    <col min="4279" max="4279" width="10.7109375" style="1" customWidth="1"/>
    <col min="4280" max="4287" width="9.140625" style="1"/>
    <col min="4288" max="4288" width="9.42578125" style="1" customWidth="1"/>
    <col min="4289" max="4534" width="9.140625" style="1"/>
    <col min="4535" max="4535" width="10.7109375" style="1" customWidth="1"/>
    <col min="4536" max="4543" width="9.140625" style="1"/>
    <col min="4544" max="4544" width="9.42578125" style="1" customWidth="1"/>
    <col min="4545" max="4790" width="9.140625" style="1"/>
    <col min="4791" max="4791" width="10.7109375" style="1" customWidth="1"/>
    <col min="4792" max="4799" width="9.140625" style="1"/>
    <col min="4800" max="4800" width="9.42578125" style="1" customWidth="1"/>
    <col min="4801" max="5046" width="9.140625" style="1"/>
    <col min="5047" max="5047" width="10.7109375" style="1" customWidth="1"/>
    <col min="5048" max="5055" width="9.140625" style="1"/>
    <col min="5056" max="5056" width="9.42578125" style="1" customWidth="1"/>
    <col min="5057" max="5302" width="9.140625" style="1"/>
    <col min="5303" max="5303" width="10.7109375" style="1" customWidth="1"/>
    <col min="5304" max="5311" width="9.140625" style="1"/>
    <col min="5312" max="5312" width="9.42578125" style="1" customWidth="1"/>
    <col min="5313" max="5558" width="9.140625" style="1"/>
    <col min="5559" max="5559" width="10.7109375" style="1" customWidth="1"/>
    <col min="5560" max="5567" width="9.140625" style="1"/>
    <col min="5568" max="5568" width="9.42578125" style="1" customWidth="1"/>
    <col min="5569" max="5814" width="9.140625" style="1"/>
    <col min="5815" max="5815" width="10.7109375" style="1" customWidth="1"/>
    <col min="5816" max="5823" width="9.140625" style="1"/>
    <col min="5824" max="5824" width="9.42578125" style="1" customWidth="1"/>
    <col min="5825" max="6070" width="9.140625" style="1"/>
    <col min="6071" max="6071" width="10.7109375" style="1" customWidth="1"/>
    <col min="6072" max="6079" width="9.140625" style="1"/>
    <col min="6080" max="6080" width="9.42578125" style="1" customWidth="1"/>
    <col min="6081" max="6326" width="9.140625" style="1"/>
    <col min="6327" max="6327" width="10.7109375" style="1" customWidth="1"/>
    <col min="6328" max="6335" width="9.140625" style="1"/>
    <col min="6336" max="6336" width="9.42578125" style="1" customWidth="1"/>
    <col min="6337" max="6582" width="9.140625" style="1"/>
    <col min="6583" max="6583" width="10.7109375" style="1" customWidth="1"/>
    <col min="6584" max="6591" width="9.140625" style="1"/>
    <col min="6592" max="6592" width="9.42578125" style="1" customWidth="1"/>
    <col min="6593" max="6838" width="9.140625" style="1"/>
    <col min="6839" max="6839" width="10.7109375" style="1" customWidth="1"/>
    <col min="6840" max="6847" width="9.140625" style="1"/>
    <col min="6848" max="6848" width="9.42578125" style="1" customWidth="1"/>
    <col min="6849" max="7094" width="9.140625" style="1"/>
    <col min="7095" max="7095" width="10.7109375" style="1" customWidth="1"/>
    <col min="7096" max="7103" width="9.140625" style="1"/>
    <col min="7104" max="7104" width="9.42578125" style="1" customWidth="1"/>
    <col min="7105" max="7350" width="9.140625" style="1"/>
    <col min="7351" max="7351" width="10.7109375" style="1" customWidth="1"/>
    <col min="7352" max="7359" width="9.140625" style="1"/>
    <col min="7360" max="7360" width="9.42578125" style="1" customWidth="1"/>
    <col min="7361" max="7606" width="9.140625" style="1"/>
    <col min="7607" max="7607" width="10.7109375" style="1" customWidth="1"/>
    <col min="7608" max="7615" width="9.140625" style="1"/>
    <col min="7616" max="7616" width="9.42578125" style="1" customWidth="1"/>
    <col min="7617" max="7862" width="9.140625" style="1"/>
    <col min="7863" max="7863" width="10.7109375" style="1" customWidth="1"/>
    <col min="7864" max="7871" width="9.140625" style="1"/>
    <col min="7872" max="7872" width="9.42578125" style="1" customWidth="1"/>
    <col min="7873" max="8118" width="9.140625" style="1"/>
    <col min="8119" max="8119" width="10.7109375" style="1" customWidth="1"/>
    <col min="8120" max="8127" width="9.140625" style="1"/>
    <col min="8128" max="8128" width="9.42578125" style="1" customWidth="1"/>
    <col min="8129" max="8374" width="9.140625" style="1"/>
    <col min="8375" max="8375" width="10.7109375" style="1" customWidth="1"/>
    <col min="8376" max="8383" width="9.140625" style="1"/>
    <col min="8384" max="8384" width="9.42578125" style="1" customWidth="1"/>
    <col min="8385" max="8630" width="9.140625" style="1"/>
    <col min="8631" max="8631" width="10.7109375" style="1" customWidth="1"/>
    <col min="8632" max="8639" width="9.140625" style="1"/>
    <col min="8640" max="8640" width="9.42578125" style="1" customWidth="1"/>
    <col min="8641" max="8886" width="9.140625" style="1"/>
    <col min="8887" max="8887" width="10.7109375" style="1" customWidth="1"/>
    <col min="8888" max="8895" width="9.140625" style="1"/>
    <col min="8896" max="8896" width="9.42578125" style="1" customWidth="1"/>
    <col min="8897" max="9142" width="9.140625" style="1"/>
    <col min="9143" max="9143" width="10.7109375" style="1" customWidth="1"/>
    <col min="9144" max="9151" width="9.140625" style="1"/>
    <col min="9152" max="9152" width="9.42578125" style="1" customWidth="1"/>
    <col min="9153" max="9398" width="9.140625" style="1"/>
    <col min="9399" max="9399" width="10.7109375" style="1" customWidth="1"/>
    <col min="9400" max="9407" width="9.140625" style="1"/>
    <col min="9408" max="9408" width="9.42578125" style="1" customWidth="1"/>
    <col min="9409" max="9654" width="9.140625" style="1"/>
    <col min="9655" max="9655" width="10.7109375" style="1" customWidth="1"/>
    <col min="9656" max="9663" width="9.140625" style="1"/>
    <col min="9664" max="9664" width="9.42578125" style="1" customWidth="1"/>
    <col min="9665" max="9910" width="9.140625" style="1"/>
    <col min="9911" max="9911" width="10.7109375" style="1" customWidth="1"/>
    <col min="9912" max="9919" width="9.140625" style="1"/>
    <col min="9920" max="9920" width="9.42578125" style="1" customWidth="1"/>
    <col min="9921" max="10166" width="9.140625" style="1"/>
    <col min="10167" max="10167" width="10.7109375" style="1" customWidth="1"/>
    <col min="10168" max="10175" width="9.140625" style="1"/>
    <col min="10176" max="10176" width="9.42578125" style="1" customWidth="1"/>
    <col min="10177" max="10422" width="9.140625" style="1"/>
    <col min="10423" max="10423" width="10.7109375" style="1" customWidth="1"/>
    <col min="10424" max="10431" width="9.140625" style="1"/>
    <col min="10432" max="10432" width="9.42578125" style="1" customWidth="1"/>
    <col min="10433" max="10678" width="9.140625" style="1"/>
    <col min="10679" max="10679" width="10.7109375" style="1" customWidth="1"/>
    <col min="10680" max="10687" width="9.140625" style="1"/>
    <col min="10688" max="10688" width="9.42578125" style="1" customWidth="1"/>
    <col min="10689" max="10934" width="9.140625" style="1"/>
    <col min="10935" max="10935" width="10.7109375" style="1" customWidth="1"/>
    <col min="10936" max="10943" width="9.140625" style="1"/>
    <col min="10944" max="10944" width="9.42578125" style="1" customWidth="1"/>
    <col min="10945" max="11190" width="9.140625" style="1"/>
    <col min="11191" max="11191" width="10.7109375" style="1" customWidth="1"/>
    <col min="11192" max="11199" width="9.140625" style="1"/>
    <col min="11200" max="11200" width="9.42578125" style="1" customWidth="1"/>
    <col min="11201" max="11446" width="9.140625" style="1"/>
    <col min="11447" max="11447" width="10.7109375" style="1" customWidth="1"/>
    <col min="11448" max="11455" width="9.140625" style="1"/>
    <col min="11456" max="11456" width="9.42578125" style="1" customWidth="1"/>
    <col min="11457" max="11702" width="9.140625" style="1"/>
    <col min="11703" max="11703" width="10.7109375" style="1" customWidth="1"/>
    <col min="11704" max="11711" width="9.140625" style="1"/>
    <col min="11712" max="11712" width="9.42578125" style="1" customWidth="1"/>
    <col min="11713" max="11958" width="9.140625" style="1"/>
    <col min="11959" max="11959" width="10.7109375" style="1" customWidth="1"/>
    <col min="11960" max="11967" width="9.140625" style="1"/>
    <col min="11968" max="11968" width="9.42578125" style="1" customWidth="1"/>
    <col min="11969" max="12214" width="9.140625" style="1"/>
    <col min="12215" max="12215" width="10.7109375" style="1" customWidth="1"/>
    <col min="12216" max="12223" width="9.140625" style="1"/>
    <col min="12224" max="12224" width="9.42578125" style="1" customWidth="1"/>
    <col min="12225" max="12470" width="9.140625" style="1"/>
    <col min="12471" max="12471" width="10.7109375" style="1" customWidth="1"/>
    <col min="12472" max="12479" width="9.140625" style="1"/>
    <col min="12480" max="12480" width="9.42578125" style="1" customWidth="1"/>
    <col min="12481" max="12726" width="9.140625" style="1"/>
    <col min="12727" max="12727" width="10.7109375" style="1" customWidth="1"/>
    <col min="12728" max="12735" width="9.140625" style="1"/>
    <col min="12736" max="12736" width="9.42578125" style="1" customWidth="1"/>
    <col min="12737" max="12982" width="9.140625" style="1"/>
    <col min="12983" max="12983" width="10.7109375" style="1" customWidth="1"/>
    <col min="12984" max="12991" width="9.140625" style="1"/>
    <col min="12992" max="12992" width="9.42578125" style="1" customWidth="1"/>
    <col min="12993" max="13238" width="9.140625" style="1"/>
    <col min="13239" max="13239" width="10.7109375" style="1" customWidth="1"/>
    <col min="13240" max="13247" width="9.140625" style="1"/>
    <col min="13248" max="13248" width="9.42578125" style="1" customWidth="1"/>
    <col min="13249" max="13494" width="9.140625" style="1"/>
    <col min="13495" max="13495" width="10.7109375" style="1" customWidth="1"/>
    <col min="13496" max="13503" width="9.140625" style="1"/>
    <col min="13504" max="13504" width="9.42578125" style="1" customWidth="1"/>
    <col min="13505" max="13750" width="9.140625" style="1"/>
    <col min="13751" max="13751" width="10.7109375" style="1" customWidth="1"/>
    <col min="13752" max="13759" width="9.140625" style="1"/>
    <col min="13760" max="13760" width="9.42578125" style="1" customWidth="1"/>
    <col min="13761" max="14006" width="9.140625" style="1"/>
    <col min="14007" max="14007" width="10.7109375" style="1" customWidth="1"/>
    <col min="14008" max="14015" width="9.140625" style="1"/>
    <col min="14016" max="14016" width="9.42578125" style="1" customWidth="1"/>
    <col min="14017" max="14262" width="9.140625" style="1"/>
    <col min="14263" max="14263" width="10.7109375" style="1" customWidth="1"/>
    <col min="14264" max="14271" width="9.140625" style="1"/>
    <col min="14272" max="14272" width="9.42578125" style="1" customWidth="1"/>
    <col min="14273" max="14518" width="9.140625" style="1"/>
    <col min="14519" max="14519" width="10.7109375" style="1" customWidth="1"/>
    <col min="14520" max="14527" width="9.140625" style="1"/>
    <col min="14528" max="14528" width="9.42578125" style="1" customWidth="1"/>
    <col min="14529" max="14774" width="9.140625" style="1"/>
    <col min="14775" max="14775" width="10.7109375" style="1" customWidth="1"/>
    <col min="14776" max="14783" width="9.140625" style="1"/>
    <col min="14784" max="14784" width="9.42578125" style="1" customWidth="1"/>
    <col min="14785" max="15030" width="9.140625" style="1"/>
    <col min="15031" max="15031" width="10.7109375" style="1" customWidth="1"/>
    <col min="15032" max="15039" width="9.140625" style="1"/>
    <col min="15040" max="15040" width="9.42578125" style="1" customWidth="1"/>
    <col min="15041" max="15286" width="9.140625" style="1"/>
    <col min="15287" max="15287" width="10.7109375" style="1" customWidth="1"/>
    <col min="15288" max="15295" width="9.140625" style="1"/>
    <col min="15296" max="15296" width="9.42578125" style="1" customWidth="1"/>
    <col min="15297" max="15542" width="9.140625" style="1"/>
    <col min="15543" max="15543" width="10.7109375" style="1" customWidth="1"/>
    <col min="15544" max="15551" width="9.140625" style="1"/>
    <col min="15552" max="15552" width="9.42578125" style="1" customWidth="1"/>
    <col min="15553" max="15798" width="9.140625" style="1"/>
    <col min="15799" max="15799" width="10.7109375" style="1" customWidth="1"/>
    <col min="15800" max="15807" width="9.140625" style="1"/>
    <col min="15808" max="15808" width="9.42578125" style="1" customWidth="1"/>
    <col min="15809" max="16054" width="9.140625" style="1"/>
    <col min="16055" max="16055" width="10.7109375" style="1" customWidth="1"/>
    <col min="16056" max="16063" width="9.140625" style="1"/>
    <col min="16064" max="16064" width="9.42578125" style="1" customWidth="1"/>
    <col min="16065" max="16384" width="9.140625" style="1"/>
  </cols>
  <sheetData>
    <row r="1" spans="1:9" ht="14.25" x14ac:dyDescent="0.2">
      <c r="A1" s="95" t="s">
        <v>35</v>
      </c>
      <c r="B1" s="96"/>
      <c r="C1" s="96"/>
      <c r="D1" s="96"/>
      <c r="E1" s="96"/>
      <c r="F1" s="96"/>
      <c r="G1" s="96"/>
      <c r="H1" s="96"/>
      <c r="I1" s="97"/>
    </row>
    <row r="2" spans="1:9" ht="15" x14ac:dyDescent="0.2">
      <c r="A2" s="91" t="s">
        <v>0</v>
      </c>
      <c r="B2" s="92"/>
      <c r="C2" s="93" t="s">
        <v>36</v>
      </c>
      <c r="D2" s="93"/>
      <c r="E2" s="92" t="s">
        <v>1</v>
      </c>
      <c r="F2" s="92"/>
      <c r="G2" s="63"/>
      <c r="H2" s="98">
        <v>45259</v>
      </c>
      <c r="I2" s="94"/>
    </row>
    <row r="3" spans="1:9" ht="15" x14ac:dyDescent="0.2">
      <c r="A3" s="91" t="s">
        <v>2</v>
      </c>
      <c r="B3" s="92"/>
      <c r="C3" s="93" t="s">
        <v>37</v>
      </c>
      <c r="D3" s="93"/>
      <c r="E3" s="92" t="s">
        <v>3</v>
      </c>
      <c r="F3" s="92"/>
      <c r="G3" s="63"/>
      <c r="H3" s="93"/>
      <c r="I3" s="94"/>
    </row>
    <row r="4" spans="1:9" ht="15" x14ac:dyDescent="0.2">
      <c r="A4" s="91" t="s">
        <v>4</v>
      </c>
      <c r="B4" s="92"/>
      <c r="C4" s="93">
        <v>2</v>
      </c>
      <c r="D4" s="93"/>
      <c r="E4" s="92"/>
      <c r="F4" s="92"/>
      <c r="G4" s="63"/>
      <c r="H4" s="93"/>
      <c r="I4" s="94"/>
    </row>
    <row r="5" spans="1:9" ht="15" x14ac:dyDescent="0.2">
      <c r="A5" s="91"/>
      <c r="B5" s="92"/>
      <c r="C5" s="93"/>
      <c r="D5" s="93"/>
      <c r="E5" s="92"/>
      <c r="F5" s="92"/>
      <c r="G5" s="63"/>
      <c r="H5" s="93"/>
      <c r="I5" s="94"/>
    </row>
    <row r="6" spans="1:9" ht="15" x14ac:dyDescent="0.2">
      <c r="A6" s="2"/>
      <c r="B6" s="3"/>
      <c r="C6" s="3"/>
      <c r="D6" s="4"/>
      <c r="E6" s="4"/>
      <c r="F6" s="4"/>
      <c r="G6" s="4"/>
      <c r="H6" s="3"/>
      <c r="I6" s="5"/>
    </row>
    <row r="7" spans="1:9" ht="42.75" x14ac:dyDescent="0.2">
      <c r="A7" s="6" t="s">
        <v>5</v>
      </c>
      <c r="B7" s="6" t="s">
        <v>6</v>
      </c>
      <c r="C7" s="6" t="s">
        <v>7</v>
      </c>
      <c r="D7" s="6" t="s">
        <v>8</v>
      </c>
      <c r="E7" s="87" t="s">
        <v>9</v>
      </c>
      <c r="F7" s="88"/>
      <c r="G7" s="89"/>
      <c r="H7" s="6" t="s">
        <v>10</v>
      </c>
      <c r="I7" s="6" t="s">
        <v>11</v>
      </c>
    </row>
    <row r="8" spans="1:9" ht="16.5" x14ac:dyDescent="0.2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34</v>
      </c>
      <c r="H8" s="7" t="s">
        <v>18</v>
      </c>
      <c r="I8" s="7" t="s">
        <v>18</v>
      </c>
    </row>
    <row r="9" spans="1:9" ht="15" x14ac:dyDescent="0.2">
      <c r="A9" s="79">
        <v>25</v>
      </c>
      <c r="B9" s="82">
        <f>A9*154/1000</f>
        <v>3.85</v>
      </c>
      <c r="C9" s="82">
        <f>B9/(0.07)</f>
        <v>54.999999999999993</v>
      </c>
      <c r="D9" s="8">
        <v>0</v>
      </c>
      <c r="E9" s="9">
        <v>0.28999999999999998</v>
      </c>
      <c r="F9" s="9">
        <v>0.01</v>
      </c>
      <c r="G9" s="9">
        <v>0.43</v>
      </c>
      <c r="H9" s="82">
        <f>((E11-E9)+(F11-F9)+(G11-G9))/3</f>
        <v>0.14666666666666667</v>
      </c>
      <c r="I9" s="85">
        <f>H9</f>
        <v>0.14666666666666667</v>
      </c>
    </row>
    <row r="10" spans="1:9" ht="15" x14ac:dyDescent="0.2">
      <c r="A10" s="80"/>
      <c r="B10" s="83"/>
      <c r="C10" s="83"/>
      <c r="D10" s="10">
        <v>15</v>
      </c>
      <c r="E10" s="11"/>
      <c r="F10" s="11"/>
      <c r="G10" s="11"/>
      <c r="H10" s="83"/>
      <c r="I10" s="86"/>
    </row>
    <row r="11" spans="1:9" ht="15" x14ac:dyDescent="0.2">
      <c r="A11" s="80"/>
      <c r="B11" s="83"/>
      <c r="C11" s="83"/>
      <c r="D11" s="10">
        <v>30</v>
      </c>
      <c r="E11" s="11">
        <v>0.59</v>
      </c>
      <c r="F11" s="11">
        <v>0.1</v>
      </c>
      <c r="G11" s="11">
        <v>0.48</v>
      </c>
      <c r="H11" s="83"/>
      <c r="I11" s="86"/>
    </row>
    <row r="12" spans="1:9" ht="15" hidden="1" customHeight="1" x14ac:dyDescent="0.2">
      <c r="A12" s="80"/>
      <c r="B12" s="83"/>
      <c r="C12" s="83"/>
      <c r="D12" s="10">
        <v>6.25</v>
      </c>
      <c r="E12" s="11"/>
      <c r="F12" s="11"/>
      <c r="G12" s="11"/>
      <c r="H12" s="83"/>
      <c r="I12" s="86"/>
    </row>
    <row r="13" spans="1:9" ht="15" hidden="1" customHeight="1" x14ac:dyDescent="0.2">
      <c r="A13" s="80"/>
      <c r="B13" s="83"/>
      <c r="C13" s="83"/>
      <c r="D13" s="10">
        <v>9</v>
      </c>
      <c r="E13" s="11"/>
      <c r="F13" s="11"/>
      <c r="G13" s="11"/>
      <c r="H13" s="83"/>
      <c r="I13" s="86"/>
    </row>
    <row r="14" spans="1:9" ht="15" hidden="1" customHeight="1" x14ac:dyDescent="0.2">
      <c r="A14" s="80"/>
      <c r="B14" s="83"/>
      <c r="C14" s="83"/>
      <c r="D14" s="12">
        <v>12</v>
      </c>
      <c r="E14" s="13"/>
      <c r="F14" s="13"/>
      <c r="G14" s="13"/>
      <c r="H14" s="84"/>
      <c r="I14" s="90"/>
    </row>
    <row r="15" spans="1:9" ht="15" hidden="1" customHeight="1" x14ac:dyDescent="0.2">
      <c r="A15" s="81"/>
      <c r="B15" s="84"/>
      <c r="C15" s="84"/>
      <c r="D15" s="10">
        <v>16</v>
      </c>
      <c r="E15" s="11">
        <v>1.59</v>
      </c>
      <c r="F15" s="11">
        <v>1.27</v>
      </c>
      <c r="G15" s="11"/>
      <c r="H15" s="64"/>
      <c r="I15" s="65"/>
    </row>
    <row r="16" spans="1:9" ht="15" x14ac:dyDescent="0.2">
      <c r="A16" s="79">
        <v>50</v>
      </c>
      <c r="B16" s="82">
        <f>A16*154/1000</f>
        <v>7.7</v>
      </c>
      <c r="C16" s="82">
        <f t="shared" ref="C16" si="0">B16/(0.07)</f>
        <v>109.99999999999999</v>
      </c>
      <c r="D16" s="8">
        <v>0</v>
      </c>
      <c r="E16" s="9">
        <f>E11</f>
        <v>0.59</v>
      </c>
      <c r="F16" s="9">
        <f>F11</f>
        <v>0.1</v>
      </c>
      <c r="G16" s="9">
        <f>G11</f>
        <v>0.48</v>
      </c>
      <c r="H16" s="82">
        <f>((E18-E16)+(F18-F16)+(G18-G16))/3</f>
        <v>0.26666666666666666</v>
      </c>
      <c r="I16" s="82">
        <f>I9+H16</f>
        <v>0.41333333333333333</v>
      </c>
    </row>
    <row r="17" spans="1:9" ht="15" x14ac:dyDescent="0.2">
      <c r="A17" s="80"/>
      <c r="B17" s="83"/>
      <c r="C17" s="83"/>
      <c r="D17" s="10">
        <v>15</v>
      </c>
      <c r="E17" s="11"/>
      <c r="F17" s="11"/>
      <c r="G17" s="11"/>
      <c r="H17" s="83"/>
      <c r="I17" s="83"/>
    </row>
    <row r="18" spans="1:9" ht="15" x14ac:dyDescent="0.2">
      <c r="A18" s="80"/>
      <c r="B18" s="83"/>
      <c r="C18" s="83"/>
      <c r="D18" s="10">
        <v>30</v>
      </c>
      <c r="E18" s="11">
        <v>0.99</v>
      </c>
      <c r="F18" s="11">
        <v>0.48</v>
      </c>
      <c r="G18" s="11">
        <v>0.5</v>
      </c>
      <c r="H18" s="83"/>
      <c r="I18" s="83"/>
    </row>
    <row r="19" spans="1:9" ht="15" hidden="1" x14ac:dyDescent="0.2">
      <c r="A19" s="80"/>
      <c r="B19" s="83"/>
      <c r="C19" s="83"/>
      <c r="D19" s="10">
        <v>6.25</v>
      </c>
      <c r="E19" s="11"/>
      <c r="F19" s="11"/>
      <c r="G19" s="11"/>
      <c r="H19" s="83"/>
      <c r="I19" s="83"/>
    </row>
    <row r="20" spans="1:9" ht="15" hidden="1" x14ac:dyDescent="0.2">
      <c r="A20" s="80"/>
      <c r="B20" s="83"/>
      <c r="C20" s="83"/>
      <c r="D20" s="10">
        <v>9</v>
      </c>
      <c r="E20" s="11"/>
      <c r="F20" s="11"/>
      <c r="G20" s="11"/>
      <c r="H20" s="83"/>
      <c r="I20" s="83"/>
    </row>
    <row r="21" spans="1:9" ht="15" hidden="1" x14ac:dyDescent="0.2">
      <c r="A21" s="80"/>
      <c r="B21" s="83"/>
      <c r="C21" s="83"/>
      <c r="D21" s="12">
        <v>12</v>
      </c>
      <c r="E21" s="13"/>
      <c r="F21" s="13"/>
      <c r="G21" s="13"/>
      <c r="H21" s="84"/>
      <c r="I21" s="84"/>
    </row>
    <row r="22" spans="1:9" ht="15" hidden="1" x14ac:dyDescent="0.2">
      <c r="A22" s="81"/>
      <c r="B22" s="84"/>
      <c r="C22" s="84"/>
      <c r="D22" s="10">
        <v>16</v>
      </c>
      <c r="E22" s="11">
        <v>2.35</v>
      </c>
      <c r="F22" s="11">
        <v>1.93</v>
      </c>
      <c r="G22" s="11"/>
      <c r="H22" s="64"/>
      <c r="I22" s="64"/>
    </row>
    <row r="23" spans="1:9" ht="15" x14ac:dyDescent="0.2">
      <c r="A23" s="79">
        <v>75</v>
      </c>
      <c r="B23" s="82">
        <f>A23*154/1000</f>
        <v>11.55</v>
      </c>
      <c r="C23" s="82">
        <f t="shared" ref="C23" si="1">B23/(0.07)</f>
        <v>165</v>
      </c>
      <c r="D23" s="8">
        <v>0</v>
      </c>
      <c r="E23" s="9">
        <f>E18</f>
        <v>0.99</v>
      </c>
      <c r="F23" s="9">
        <f>F18</f>
        <v>0.48</v>
      </c>
      <c r="G23" s="9">
        <f>G18</f>
        <v>0.5</v>
      </c>
      <c r="H23" s="82">
        <f>((E25-E23)+(F25-F23)+(G25-G23))/3</f>
        <v>0.36999999999999994</v>
      </c>
      <c r="I23" s="82">
        <f>I16+H23</f>
        <v>0.78333333333333321</v>
      </c>
    </row>
    <row r="24" spans="1:9" ht="15" x14ac:dyDescent="0.2">
      <c r="A24" s="80"/>
      <c r="B24" s="83"/>
      <c r="C24" s="83"/>
      <c r="D24" s="10">
        <v>15</v>
      </c>
      <c r="E24" s="11"/>
      <c r="F24" s="11"/>
      <c r="G24" s="11"/>
      <c r="H24" s="83"/>
      <c r="I24" s="83"/>
    </row>
    <row r="25" spans="1:9" ht="15" x14ac:dyDescent="0.2">
      <c r="A25" s="80"/>
      <c r="B25" s="83"/>
      <c r="C25" s="83"/>
      <c r="D25" s="10">
        <v>30</v>
      </c>
      <c r="E25" s="11">
        <v>1.43</v>
      </c>
      <c r="F25" s="11">
        <v>0.71</v>
      </c>
      <c r="G25" s="11">
        <v>0.94</v>
      </c>
      <c r="H25" s="83"/>
      <c r="I25" s="83"/>
    </row>
    <row r="26" spans="1:9" ht="15" hidden="1" customHeight="1" x14ac:dyDescent="0.2">
      <c r="A26" s="80"/>
      <c r="B26" s="83"/>
      <c r="C26" s="83"/>
      <c r="D26" s="10">
        <v>6.25</v>
      </c>
      <c r="E26" s="11"/>
      <c r="F26" s="11"/>
      <c r="G26" s="11"/>
      <c r="H26" s="83"/>
      <c r="I26" s="83"/>
    </row>
    <row r="27" spans="1:9" ht="15" hidden="1" customHeight="1" x14ac:dyDescent="0.2">
      <c r="A27" s="80"/>
      <c r="B27" s="83"/>
      <c r="C27" s="83"/>
      <c r="D27" s="10">
        <v>9</v>
      </c>
      <c r="E27" s="11"/>
      <c r="F27" s="11"/>
      <c r="G27" s="11"/>
      <c r="H27" s="83"/>
      <c r="I27" s="83"/>
    </row>
    <row r="28" spans="1:9" ht="15" hidden="1" customHeight="1" x14ac:dyDescent="0.2">
      <c r="A28" s="80"/>
      <c r="B28" s="83"/>
      <c r="C28" s="83"/>
      <c r="D28" s="12">
        <v>12</v>
      </c>
      <c r="E28" s="11"/>
      <c r="F28" s="11"/>
      <c r="G28" s="11"/>
      <c r="H28" s="84"/>
      <c r="I28" s="84"/>
    </row>
    <row r="29" spans="1:9" ht="15" hidden="1" x14ac:dyDescent="0.2">
      <c r="A29" s="81"/>
      <c r="B29" s="84"/>
      <c r="C29" s="84"/>
      <c r="D29" s="10">
        <v>16</v>
      </c>
      <c r="E29" s="11">
        <v>3.19</v>
      </c>
      <c r="F29" s="11">
        <v>2.5</v>
      </c>
      <c r="G29" s="11"/>
      <c r="H29" s="64"/>
      <c r="I29" s="64"/>
    </row>
    <row r="30" spans="1:9" ht="15" x14ac:dyDescent="0.2">
      <c r="A30" s="79">
        <v>100</v>
      </c>
      <c r="B30" s="82">
        <f>A30*154/1000</f>
        <v>15.4</v>
      </c>
      <c r="C30" s="82">
        <f t="shared" ref="C30" si="2">B30/(0.07)</f>
        <v>219.99999999999997</v>
      </c>
      <c r="D30" s="8">
        <v>0</v>
      </c>
      <c r="E30" s="9">
        <f>E25</f>
        <v>1.43</v>
      </c>
      <c r="F30" s="9">
        <f>F25</f>
        <v>0.71</v>
      </c>
      <c r="G30" s="9">
        <f>G25</f>
        <v>0.94</v>
      </c>
      <c r="H30" s="82">
        <f>((E32-E30)+(F32-F30)+(G32-G30))/3</f>
        <v>0.50333333333333341</v>
      </c>
      <c r="I30" s="82">
        <f>I23+H30</f>
        <v>1.2866666666666666</v>
      </c>
    </row>
    <row r="31" spans="1:9" ht="15" x14ac:dyDescent="0.2">
      <c r="A31" s="80"/>
      <c r="B31" s="83"/>
      <c r="C31" s="83"/>
      <c r="D31" s="10">
        <v>15</v>
      </c>
      <c r="E31" s="11"/>
      <c r="F31" s="11"/>
      <c r="G31" s="11"/>
      <c r="H31" s="83"/>
      <c r="I31" s="83"/>
    </row>
    <row r="32" spans="1:9" ht="15" x14ac:dyDescent="0.2">
      <c r="A32" s="80"/>
      <c r="B32" s="83"/>
      <c r="C32" s="83"/>
      <c r="D32" s="10">
        <v>30</v>
      </c>
      <c r="E32" s="11">
        <v>1.94</v>
      </c>
      <c r="F32" s="11">
        <v>1.04</v>
      </c>
      <c r="G32" s="11">
        <v>1.61</v>
      </c>
      <c r="H32" s="83"/>
      <c r="I32" s="83"/>
    </row>
    <row r="33" spans="1:10" ht="15" hidden="1" x14ac:dyDescent="0.2">
      <c r="A33" s="80"/>
      <c r="B33" s="83"/>
      <c r="C33" s="83"/>
      <c r="D33" s="10">
        <v>6.25</v>
      </c>
      <c r="E33" s="11"/>
      <c r="F33" s="11"/>
      <c r="G33" s="11"/>
      <c r="H33" s="83"/>
      <c r="I33" s="83"/>
    </row>
    <row r="34" spans="1:10" ht="15" hidden="1" x14ac:dyDescent="0.2">
      <c r="A34" s="80"/>
      <c r="B34" s="83"/>
      <c r="C34" s="83"/>
      <c r="D34" s="10">
        <v>9</v>
      </c>
      <c r="E34" s="11"/>
      <c r="F34" s="11"/>
      <c r="G34" s="11"/>
      <c r="H34" s="83"/>
      <c r="I34" s="83"/>
    </row>
    <row r="35" spans="1:10" ht="15" hidden="1" x14ac:dyDescent="0.2">
      <c r="A35" s="80"/>
      <c r="B35" s="83"/>
      <c r="C35" s="83"/>
      <c r="D35" s="12">
        <v>12</v>
      </c>
      <c r="E35" s="11"/>
      <c r="F35" s="11"/>
      <c r="G35" s="11"/>
      <c r="H35" s="84"/>
      <c r="I35" s="84"/>
    </row>
    <row r="36" spans="1:10" ht="15" hidden="1" x14ac:dyDescent="0.2">
      <c r="A36" s="81"/>
      <c r="B36" s="84"/>
      <c r="C36" s="84"/>
      <c r="D36" s="10">
        <v>16</v>
      </c>
      <c r="E36" s="11">
        <v>4.0999999999999996</v>
      </c>
      <c r="F36" s="11">
        <v>2.9</v>
      </c>
      <c r="G36" s="11"/>
      <c r="H36" s="64"/>
      <c r="I36" s="65"/>
    </row>
    <row r="37" spans="1:10" ht="15" x14ac:dyDescent="0.2">
      <c r="A37" s="79">
        <v>125</v>
      </c>
      <c r="B37" s="82">
        <f>A37*154/1000</f>
        <v>19.25</v>
      </c>
      <c r="C37" s="82">
        <f>B37/(0.07)</f>
        <v>275</v>
      </c>
      <c r="D37" s="8">
        <v>0</v>
      </c>
      <c r="E37" s="9">
        <f>E32</f>
        <v>1.94</v>
      </c>
      <c r="F37" s="9">
        <f>F32</f>
        <v>1.04</v>
      </c>
      <c r="G37" s="9">
        <f>G32</f>
        <v>1.61</v>
      </c>
      <c r="H37" s="82">
        <f>((E39-E37)+(F39-F37)+(G39-G37))/3</f>
        <v>1.92</v>
      </c>
      <c r="I37" s="85">
        <f>I30+H37</f>
        <v>3.2066666666666666</v>
      </c>
    </row>
    <row r="38" spans="1:10" ht="15" x14ac:dyDescent="0.2">
      <c r="A38" s="80"/>
      <c r="B38" s="83"/>
      <c r="C38" s="83"/>
      <c r="D38" s="10">
        <v>15</v>
      </c>
      <c r="E38" s="11"/>
      <c r="F38" s="11"/>
      <c r="G38" s="11"/>
      <c r="H38" s="83"/>
      <c r="I38" s="86"/>
    </row>
    <row r="39" spans="1:10" ht="15" x14ac:dyDescent="0.2">
      <c r="A39" s="80"/>
      <c r="B39" s="83"/>
      <c r="C39" s="83"/>
      <c r="D39" s="10">
        <v>30</v>
      </c>
      <c r="E39" s="11">
        <v>4.2300000000000004</v>
      </c>
      <c r="F39" s="11">
        <v>3.51</v>
      </c>
      <c r="G39" s="11">
        <v>2.61</v>
      </c>
      <c r="H39" s="83"/>
      <c r="I39" s="86"/>
    </row>
    <row r="40" spans="1:10" ht="15" hidden="1" x14ac:dyDescent="0.2">
      <c r="A40" s="80"/>
      <c r="B40" s="83"/>
      <c r="C40" s="83"/>
      <c r="D40" s="10">
        <v>6.25</v>
      </c>
      <c r="E40" s="11"/>
      <c r="F40" s="11"/>
      <c r="G40" s="11"/>
      <c r="H40" s="83"/>
      <c r="I40" s="86"/>
      <c r="J40" s="1">
        <f>C37/2.5</f>
        <v>110</v>
      </c>
    </row>
    <row r="41" spans="1:10" ht="15" hidden="1" x14ac:dyDescent="0.2">
      <c r="A41" s="80"/>
      <c r="B41" s="83"/>
      <c r="C41" s="83"/>
      <c r="D41" s="10">
        <v>9</v>
      </c>
      <c r="E41" s="11"/>
      <c r="F41" s="11"/>
      <c r="G41" s="11"/>
      <c r="H41" s="83"/>
      <c r="I41" s="86"/>
    </row>
    <row r="42" spans="1:10" ht="15" hidden="1" x14ac:dyDescent="0.2">
      <c r="A42" s="80"/>
      <c r="B42" s="83"/>
      <c r="C42" s="83"/>
      <c r="D42" s="12">
        <v>12</v>
      </c>
      <c r="E42" s="11"/>
      <c r="F42" s="11"/>
      <c r="G42" s="11"/>
      <c r="H42" s="83"/>
      <c r="I42" s="86"/>
    </row>
    <row r="43" spans="1:10" ht="15" hidden="1" x14ac:dyDescent="0.2">
      <c r="A43" s="81"/>
      <c r="B43" s="84"/>
      <c r="C43" s="84"/>
      <c r="D43" s="12">
        <v>16</v>
      </c>
      <c r="E43" s="11">
        <v>4.66</v>
      </c>
      <c r="F43" s="11">
        <v>3.66</v>
      </c>
      <c r="G43" s="11"/>
      <c r="H43" s="64"/>
      <c r="I43" s="65"/>
    </row>
    <row r="44" spans="1:10" ht="15" x14ac:dyDescent="0.2">
      <c r="A44" s="14">
        <v>100</v>
      </c>
      <c r="B44" s="15">
        <f>A44*154/1000</f>
        <v>15.4</v>
      </c>
      <c r="C44" s="15">
        <f>B44/(0.07)</f>
        <v>219.99999999999997</v>
      </c>
      <c r="D44" s="14">
        <v>0</v>
      </c>
      <c r="E44" s="16">
        <v>4.1900000000000004</v>
      </c>
      <c r="F44" s="16">
        <v>3.47</v>
      </c>
      <c r="G44" s="16">
        <v>2.52</v>
      </c>
      <c r="H44" s="66">
        <f>((E44-E39)+(F44-F39)+(G44-G39))/3</f>
        <v>-5.6666666666666497E-2</v>
      </c>
      <c r="I44" s="67">
        <f>I37+H44</f>
        <v>3.15</v>
      </c>
    </row>
    <row r="45" spans="1:10" ht="15" x14ac:dyDescent="0.2">
      <c r="A45" s="14">
        <v>75</v>
      </c>
      <c r="B45" s="15">
        <f t="shared" ref="B45:B48" si="3">A45*154/1000</f>
        <v>11.55</v>
      </c>
      <c r="C45" s="15">
        <f t="shared" ref="C45:C47" si="4">B45/(0.07)</f>
        <v>165</v>
      </c>
      <c r="D45" s="14">
        <v>0</v>
      </c>
      <c r="E45" s="16">
        <v>3.91</v>
      </c>
      <c r="F45" s="16">
        <v>3.37</v>
      </c>
      <c r="G45" s="16">
        <v>2.48</v>
      </c>
      <c r="H45" s="66">
        <f>((E45-E44)+(F45-F44)+(G45-G44))/3</f>
        <v>-0.14000000000000012</v>
      </c>
      <c r="I45" s="67">
        <f>I44+H45</f>
        <v>3.01</v>
      </c>
    </row>
    <row r="46" spans="1:10" ht="15" x14ac:dyDescent="0.2">
      <c r="A46" s="14">
        <v>50</v>
      </c>
      <c r="B46" s="15">
        <f t="shared" si="3"/>
        <v>7.7</v>
      </c>
      <c r="C46" s="15">
        <f t="shared" si="4"/>
        <v>109.99999999999999</v>
      </c>
      <c r="D46" s="14">
        <v>0</v>
      </c>
      <c r="E46" s="16">
        <v>3.51</v>
      </c>
      <c r="F46" s="16">
        <v>3.12</v>
      </c>
      <c r="G46" s="16">
        <v>2.41</v>
      </c>
      <c r="H46" s="66">
        <f>((E46-E45)+(F46-F45)+(G46-G45))/3</f>
        <v>-0.24000000000000007</v>
      </c>
      <c r="I46" s="67">
        <f>I45+H46</f>
        <v>2.7699999999999996</v>
      </c>
    </row>
    <row r="47" spans="1:10" ht="15" x14ac:dyDescent="0.2">
      <c r="A47" s="14">
        <v>25</v>
      </c>
      <c r="B47" s="15">
        <f>A47*154/1000</f>
        <v>3.85</v>
      </c>
      <c r="C47" s="15">
        <f t="shared" si="4"/>
        <v>54.999999999999993</v>
      </c>
      <c r="D47" s="12">
        <v>0</v>
      </c>
      <c r="E47" s="13">
        <v>3.09</v>
      </c>
      <c r="F47" s="13">
        <v>2.98</v>
      </c>
      <c r="G47" s="13">
        <v>2.38</v>
      </c>
      <c r="H47" s="66">
        <f>((E47-E46)+(F47-F46)+(G47-G46))/3</f>
        <v>-0.19666666666666677</v>
      </c>
      <c r="I47" s="67">
        <f>I46+H47</f>
        <v>2.5733333333333328</v>
      </c>
    </row>
    <row r="48" spans="1:10" ht="15" x14ac:dyDescent="0.2">
      <c r="A48" s="17">
        <v>0</v>
      </c>
      <c r="B48" s="15">
        <f t="shared" si="3"/>
        <v>0</v>
      </c>
      <c r="C48" s="17"/>
      <c r="D48" s="14">
        <v>0</v>
      </c>
      <c r="E48" s="13">
        <v>2.98</v>
      </c>
      <c r="F48" s="13">
        <v>2.81</v>
      </c>
      <c r="G48" s="13">
        <v>2.35</v>
      </c>
      <c r="H48" s="66">
        <f>((E48-E47)+(F48-F47)+(G48-G47))/3</f>
        <v>-0.10333333333333321</v>
      </c>
      <c r="I48" s="67">
        <f>I47+H48</f>
        <v>2.4699999999999998</v>
      </c>
    </row>
    <row r="49" spans="1:22" ht="15.75" thickBot="1" x14ac:dyDescent="0.25">
      <c r="A49" s="17"/>
      <c r="B49" s="17"/>
      <c r="C49" s="17"/>
      <c r="D49" s="17"/>
      <c r="E49" s="17"/>
      <c r="F49" s="17"/>
      <c r="G49" s="17"/>
      <c r="H49" s="17"/>
      <c r="I49" s="17"/>
    </row>
    <row r="50" spans="1:22" ht="16.5" thickBot="1" x14ac:dyDescent="0.25">
      <c r="A50" s="17"/>
      <c r="B50" s="17"/>
      <c r="C50" s="17"/>
      <c r="D50" s="17"/>
      <c r="E50" s="17"/>
      <c r="F50" s="17"/>
      <c r="G50" s="17"/>
      <c r="H50" s="17"/>
      <c r="I50" s="17"/>
      <c r="K50" s="76" t="s">
        <v>19</v>
      </c>
      <c r="L50" s="77"/>
      <c r="M50" s="77"/>
      <c r="N50" s="77"/>
      <c r="O50" s="77"/>
      <c r="P50" s="77"/>
      <c r="Q50" s="77"/>
      <c r="R50" s="77"/>
      <c r="S50" s="77"/>
      <c r="T50" s="77"/>
      <c r="U50" s="78"/>
    </row>
    <row r="51" spans="1:22" ht="12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K51" s="69" t="str">
        <f>C2</f>
        <v>377 MLD</v>
      </c>
      <c r="L51" s="70"/>
      <c r="M51" s="70"/>
      <c r="N51" s="70"/>
      <c r="O51" s="70"/>
      <c r="P51" s="70"/>
      <c r="Q51" s="70"/>
      <c r="R51" s="70"/>
      <c r="S51" s="70"/>
      <c r="T51" s="70"/>
      <c r="U51" s="71"/>
    </row>
    <row r="52" spans="1:22" ht="15" x14ac:dyDescent="0.2">
      <c r="A52" s="17"/>
      <c r="B52" s="17"/>
      <c r="C52" s="17"/>
      <c r="D52" s="17"/>
      <c r="E52" s="17"/>
      <c r="F52" s="17"/>
      <c r="G52" s="17"/>
      <c r="H52" s="17"/>
      <c r="I52" s="17"/>
      <c r="K52" s="18" t="s">
        <v>20</v>
      </c>
      <c r="L52" s="19">
        <f>C4</f>
        <v>2</v>
      </c>
      <c r="M52" s="20" t="s">
        <v>21</v>
      </c>
      <c r="N52" s="1" t="str">
        <f>C3</f>
        <v>GVPR</v>
      </c>
      <c r="O52" s="21"/>
      <c r="P52" s="19"/>
      <c r="Q52" s="19"/>
      <c r="R52" s="20"/>
      <c r="T52" s="19"/>
      <c r="U52" s="22"/>
    </row>
    <row r="53" spans="1:22" ht="15" x14ac:dyDescent="0.2">
      <c r="A53" s="17"/>
      <c r="B53" s="17"/>
      <c r="C53" s="17"/>
      <c r="D53" s="17"/>
      <c r="E53" s="17"/>
      <c r="F53" s="17"/>
      <c r="G53" s="17"/>
      <c r="H53" s="17"/>
      <c r="I53" s="17"/>
      <c r="K53" s="23" t="s">
        <v>22</v>
      </c>
      <c r="L53" s="20">
        <f>H3</f>
        <v>0</v>
      </c>
      <c r="P53" s="24"/>
      <c r="Q53" s="25"/>
      <c r="S53" s="25"/>
      <c r="T53" s="26"/>
      <c r="U53" s="27"/>
    </row>
    <row r="54" spans="1:22" ht="15" x14ac:dyDescent="0.2">
      <c r="A54" s="17"/>
      <c r="B54" s="17"/>
      <c r="C54" s="17"/>
      <c r="D54" s="17"/>
      <c r="E54" s="17"/>
      <c r="F54" s="17"/>
      <c r="G54" s="17"/>
      <c r="H54" s="17"/>
      <c r="I54" s="17"/>
      <c r="K54" s="23" t="s">
        <v>23</v>
      </c>
      <c r="L54" s="28" t="s">
        <v>33</v>
      </c>
      <c r="N54" s="29"/>
      <c r="O54" s="1" t="s">
        <v>24</v>
      </c>
      <c r="P54" s="72">
        <f>H4</f>
        <v>0</v>
      </c>
      <c r="Q54" s="72"/>
      <c r="R54" s="72">
        <f>H5</f>
        <v>0</v>
      </c>
      <c r="S54" s="72"/>
      <c r="T54" s="30"/>
      <c r="U54" s="27"/>
    </row>
    <row r="55" spans="1:22" ht="12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K55" s="23" t="s">
        <v>25</v>
      </c>
      <c r="L55" s="1">
        <f>C5</f>
        <v>0</v>
      </c>
      <c r="N55" s="29"/>
      <c r="P55" s="26"/>
      <c r="Q55" s="25"/>
      <c r="R55" s="31"/>
      <c r="S55" s="25"/>
      <c r="T55" s="29"/>
      <c r="U55" s="27"/>
    </row>
    <row r="56" spans="1:22" ht="12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K56" s="23" t="s">
        <v>26</v>
      </c>
      <c r="L56" s="32">
        <f>H2</f>
        <v>45259</v>
      </c>
      <c r="P56" s="26"/>
      <c r="Q56" s="33"/>
      <c r="R56" s="31"/>
      <c r="S56" s="25"/>
      <c r="T56" s="29"/>
      <c r="U56" s="27"/>
    </row>
    <row r="57" spans="1:22" ht="16.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K57" s="23"/>
      <c r="N57" s="74" t="s">
        <v>27</v>
      </c>
      <c r="O57" s="74"/>
      <c r="P57" s="74"/>
      <c r="Q57" s="74"/>
      <c r="R57" s="74"/>
      <c r="S57" s="74"/>
      <c r="T57" s="74"/>
      <c r="U57" s="27"/>
    </row>
    <row r="58" spans="1:22" ht="15.75" x14ac:dyDescent="0.25">
      <c r="A58" s="17"/>
      <c r="B58" s="17"/>
      <c r="C58" s="17"/>
      <c r="D58" s="17"/>
      <c r="E58" s="17"/>
      <c r="F58" s="17"/>
      <c r="G58" s="17"/>
      <c r="H58" s="17"/>
      <c r="I58" s="17"/>
      <c r="K58" s="23"/>
      <c r="P58" s="34"/>
      <c r="Q58" s="31"/>
      <c r="R58" s="31"/>
      <c r="S58" s="31"/>
      <c r="U58" s="27"/>
      <c r="V58" s="29"/>
    </row>
    <row r="59" spans="1:22" ht="38.25" x14ac:dyDescent="0.2">
      <c r="A59" s="17"/>
      <c r="B59" s="17"/>
      <c r="C59" s="17"/>
      <c r="D59" s="17"/>
      <c r="E59" s="17"/>
      <c r="F59" s="17"/>
      <c r="G59" s="17"/>
      <c r="H59" s="17"/>
      <c r="I59" s="17"/>
      <c r="K59" s="35" t="s">
        <v>28</v>
      </c>
      <c r="L59" s="36" t="s">
        <v>29</v>
      </c>
      <c r="M59" s="37"/>
      <c r="N59" s="38"/>
      <c r="O59" s="38"/>
      <c r="P59" s="38"/>
      <c r="Q59" s="29"/>
      <c r="R59" s="29"/>
      <c r="S59" s="29"/>
      <c r="T59" s="29"/>
      <c r="U59" s="39"/>
      <c r="V59" s="37"/>
    </row>
    <row r="60" spans="1:22" ht="15" x14ac:dyDescent="0.2">
      <c r="A60" s="17"/>
      <c r="B60" s="17"/>
      <c r="C60" s="17"/>
      <c r="D60" s="17"/>
      <c r="E60" s="17"/>
      <c r="F60" s="17"/>
      <c r="G60" s="17"/>
      <c r="H60" s="17"/>
      <c r="I60" s="17"/>
      <c r="K60" s="40"/>
      <c r="L60" s="41"/>
      <c r="M60" s="25"/>
      <c r="N60" s="25"/>
      <c r="O60" s="25"/>
      <c r="Q60" s="29"/>
      <c r="R60" s="29"/>
      <c r="S60" s="29"/>
      <c r="T60" s="29"/>
      <c r="U60" s="27"/>
      <c r="V60" s="29"/>
    </row>
    <row r="61" spans="1:22" ht="15" x14ac:dyDescent="0.2">
      <c r="A61" s="17"/>
      <c r="B61" s="17"/>
      <c r="C61" s="17"/>
      <c r="D61" s="17"/>
      <c r="E61" s="17"/>
      <c r="F61" s="17"/>
      <c r="G61" s="17"/>
      <c r="H61" s="17"/>
      <c r="I61" s="17"/>
      <c r="K61" s="42">
        <f>B9</f>
        <v>3.85</v>
      </c>
      <c r="L61" s="43">
        <f>I9</f>
        <v>0.14666666666666667</v>
      </c>
      <c r="M61" s="25"/>
      <c r="N61" s="25"/>
      <c r="O61" s="25"/>
      <c r="Q61" s="29"/>
      <c r="R61" s="29"/>
      <c r="S61" s="29"/>
      <c r="T61" s="29"/>
      <c r="U61" s="27"/>
      <c r="V61" s="29"/>
    </row>
    <row r="62" spans="1:22" ht="15" x14ac:dyDescent="0.2">
      <c r="A62" s="17"/>
      <c r="B62" s="17"/>
      <c r="C62" s="17"/>
      <c r="D62" s="17"/>
      <c r="E62" s="17"/>
      <c r="F62" s="17"/>
      <c r="G62" s="17"/>
      <c r="H62" s="17"/>
      <c r="I62" s="17"/>
      <c r="K62" s="42">
        <f>B16</f>
        <v>7.7</v>
      </c>
      <c r="L62" s="43">
        <f>I16</f>
        <v>0.41333333333333333</v>
      </c>
      <c r="M62" s="25"/>
      <c r="N62" s="25"/>
      <c r="O62" s="25"/>
      <c r="Q62" s="29"/>
      <c r="R62" s="29"/>
      <c r="S62" s="29"/>
      <c r="T62" s="29"/>
      <c r="U62" s="27"/>
      <c r="V62" s="29"/>
    </row>
    <row r="63" spans="1:22" ht="15" x14ac:dyDescent="0.2">
      <c r="A63" s="17"/>
      <c r="B63" s="17"/>
      <c r="C63" s="17"/>
      <c r="D63" s="17"/>
      <c r="E63" s="17"/>
      <c r="F63" s="17"/>
      <c r="G63" s="17"/>
      <c r="H63" s="17"/>
      <c r="I63" s="17"/>
      <c r="K63" s="42">
        <f>B23</f>
        <v>11.55</v>
      </c>
      <c r="L63" s="43">
        <f>I23</f>
        <v>0.78333333333333321</v>
      </c>
      <c r="M63" s="25"/>
      <c r="N63" s="25"/>
      <c r="O63" s="25"/>
      <c r="Q63" s="29"/>
      <c r="R63" s="29"/>
      <c r="S63" s="29"/>
      <c r="T63" s="29"/>
      <c r="U63" s="27"/>
      <c r="V63" s="29"/>
    </row>
    <row r="64" spans="1:22" ht="15" x14ac:dyDescent="0.2">
      <c r="A64" s="17"/>
      <c r="B64" s="17"/>
      <c r="C64" s="17"/>
      <c r="D64" s="17"/>
      <c r="E64" s="17"/>
      <c r="F64" s="17"/>
      <c r="G64" s="17"/>
      <c r="H64" s="17"/>
      <c r="I64" s="17"/>
      <c r="K64" s="42">
        <f>B30</f>
        <v>15.4</v>
      </c>
      <c r="L64" s="43">
        <f>I30</f>
        <v>1.2866666666666666</v>
      </c>
      <c r="M64" s="25"/>
      <c r="N64" s="25"/>
      <c r="O64" s="25"/>
      <c r="Q64" s="29"/>
      <c r="R64" s="29"/>
      <c r="S64" s="29"/>
      <c r="T64" s="29"/>
      <c r="U64" s="27"/>
      <c r="V64" s="29"/>
    </row>
    <row r="65" spans="1:22" ht="15" x14ac:dyDescent="0.2">
      <c r="A65" s="17"/>
      <c r="B65" s="17"/>
      <c r="C65" s="17"/>
      <c r="D65" s="17"/>
      <c r="E65" s="17"/>
      <c r="F65" s="17"/>
      <c r="G65" s="17"/>
      <c r="H65" s="17"/>
      <c r="I65" s="17"/>
      <c r="K65" s="42">
        <f>B37</f>
        <v>19.25</v>
      </c>
      <c r="L65" s="43">
        <f>I37</f>
        <v>3.2066666666666666</v>
      </c>
      <c r="M65" s="25"/>
      <c r="N65" s="25"/>
      <c r="O65" s="25"/>
      <c r="Q65" s="29"/>
      <c r="R65" s="29"/>
      <c r="S65" s="29"/>
      <c r="T65" s="29"/>
      <c r="U65" s="27"/>
      <c r="V65" s="29"/>
    </row>
    <row r="66" spans="1:22" ht="15" x14ac:dyDescent="0.2">
      <c r="A66" s="17"/>
      <c r="B66" s="17"/>
      <c r="C66" s="17"/>
      <c r="D66" s="17"/>
      <c r="E66" s="17"/>
      <c r="F66" s="17"/>
      <c r="G66" s="17"/>
      <c r="H66" s="17"/>
      <c r="I66" s="17"/>
      <c r="K66" s="42">
        <f>K64</f>
        <v>15.4</v>
      </c>
      <c r="L66" s="44">
        <v>3.15</v>
      </c>
      <c r="M66" s="25"/>
      <c r="N66" s="25"/>
      <c r="O66" s="25"/>
      <c r="Q66" s="29"/>
      <c r="R66" s="29"/>
      <c r="S66" s="29"/>
      <c r="T66" s="29"/>
      <c r="U66" s="27"/>
      <c r="V66" s="29"/>
    </row>
    <row r="67" spans="1:22" ht="15" x14ac:dyDescent="0.2">
      <c r="A67" s="17"/>
      <c r="B67" s="17"/>
      <c r="C67" s="17"/>
      <c r="D67" s="17"/>
      <c r="E67" s="17"/>
      <c r="F67" s="17"/>
      <c r="G67" s="17"/>
      <c r="H67" s="17"/>
      <c r="I67" s="17"/>
      <c r="K67" s="68">
        <f>K63</f>
        <v>11.55</v>
      </c>
      <c r="L67" s="44">
        <v>3.01</v>
      </c>
      <c r="M67" s="25"/>
      <c r="N67" s="25"/>
      <c r="O67" s="25"/>
      <c r="Q67" s="29"/>
      <c r="R67" s="29"/>
      <c r="S67" s="29"/>
      <c r="T67" s="29"/>
      <c r="U67" s="27"/>
      <c r="V67" s="29"/>
    </row>
    <row r="68" spans="1:22" x14ac:dyDescent="0.2">
      <c r="K68" s="68">
        <f>K62</f>
        <v>7.7</v>
      </c>
      <c r="L68" s="44">
        <v>2.7699999999999996</v>
      </c>
      <c r="M68" s="25"/>
      <c r="N68" s="25"/>
      <c r="O68" s="25"/>
      <c r="Q68" s="29"/>
      <c r="R68" s="29"/>
      <c r="S68" s="29"/>
      <c r="T68" s="29"/>
      <c r="U68" s="27"/>
      <c r="V68" s="29"/>
    </row>
    <row r="69" spans="1:22" x14ac:dyDescent="0.2">
      <c r="K69" s="68">
        <f>K61</f>
        <v>3.85</v>
      </c>
      <c r="L69" s="44">
        <v>2.5733333333333328</v>
      </c>
      <c r="M69" s="25"/>
      <c r="N69" s="25"/>
      <c r="O69" s="25"/>
      <c r="Q69" s="29"/>
      <c r="R69" s="29"/>
      <c r="S69" s="29"/>
      <c r="T69" s="29"/>
      <c r="U69" s="27"/>
      <c r="V69" s="29"/>
    </row>
    <row r="70" spans="1:22" x14ac:dyDescent="0.2">
      <c r="K70" s="45">
        <v>0</v>
      </c>
      <c r="L70" s="44">
        <v>2.4699999999999998</v>
      </c>
      <c r="M70" s="25"/>
      <c r="N70" s="25"/>
      <c r="O70" s="25"/>
      <c r="Q70" s="29"/>
      <c r="R70" s="29"/>
      <c r="S70" s="29"/>
      <c r="T70" s="29"/>
      <c r="U70" s="27"/>
      <c r="V70" s="29"/>
    </row>
    <row r="71" spans="1:22" x14ac:dyDescent="0.2">
      <c r="K71" s="46"/>
      <c r="L71" s="44"/>
      <c r="M71" s="25"/>
      <c r="N71" s="25"/>
      <c r="O71" s="25"/>
      <c r="Q71" s="29"/>
      <c r="R71" s="29"/>
      <c r="S71" s="29"/>
      <c r="T71" s="29"/>
      <c r="U71" s="27"/>
      <c r="V71" s="29"/>
    </row>
    <row r="72" spans="1:22" x14ac:dyDescent="0.2">
      <c r="K72" s="45"/>
      <c r="L72" s="44"/>
      <c r="M72" s="25"/>
      <c r="N72" s="25"/>
      <c r="O72" s="25"/>
      <c r="Q72" s="29"/>
      <c r="R72" s="29"/>
      <c r="S72" s="29"/>
      <c r="T72" s="29"/>
      <c r="U72" s="27"/>
      <c r="V72" s="29"/>
    </row>
    <row r="73" spans="1:22" x14ac:dyDescent="0.2">
      <c r="K73" s="45"/>
      <c r="L73" s="44"/>
      <c r="M73" s="25"/>
      <c r="N73" s="25"/>
      <c r="O73" s="25"/>
      <c r="Q73" s="29"/>
      <c r="R73" s="29"/>
      <c r="S73" s="29"/>
      <c r="T73" s="29"/>
      <c r="U73" s="27"/>
      <c r="V73" s="29"/>
    </row>
    <row r="74" spans="1:22" ht="13.5" thickBot="1" x14ac:dyDescent="0.25">
      <c r="K74" s="47"/>
      <c r="L74" s="48"/>
      <c r="M74" s="49"/>
      <c r="N74" s="49"/>
      <c r="O74" s="49"/>
      <c r="P74" s="50"/>
      <c r="Q74" s="50"/>
      <c r="R74" s="50"/>
      <c r="S74" s="50"/>
      <c r="T74" s="50"/>
      <c r="U74" s="51"/>
      <c r="V74" s="29"/>
    </row>
    <row r="76" spans="1:22" ht="13.5" thickBot="1" x14ac:dyDescent="0.25"/>
    <row r="77" spans="1:22" ht="16.5" thickBot="1" x14ac:dyDescent="0.25">
      <c r="K77" s="76" t="s">
        <v>19</v>
      </c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52"/>
    </row>
    <row r="78" spans="1:22" ht="12.75" customHeight="1" x14ac:dyDescent="0.2">
      <c r="K78" s="69" t="str">
        <f>C2</f>
        <v>377 MLD</v>
      </c>
      <c r="L78" s="70"/>
      <c r="M78" s="70"/>
      <c r="N78" s="70"/>
      <c r="O78" s="70"/>
      <c r="P78" s="70"/>
      <c r="Q78" s="70"/>
      <c r="R78" s="70"/>
      <c r="S78" s="70"/>
      <c r="T78" s="70"/>
      <c r="U78" s="71"/>
      <c r="V78" s="53"/>
    </row>
    <row r="79" spans="1:22" x14ac:dyDescent="0.2">
      <c r="K79" s="18" t="s">
        <v>20</v>
      </c>
      <c r="L79" s="19">
        <f>C4</f>
        <v>2</v>
      </c>
      <c r="M79" s="20" t="str">
        <f>M52</f>
        <v>Client</v>
      </c>
      <c r="N79" s="1" t="str">
        <f>N52</f>
        <v>GVPR</v>
      </c>
      <c r="O79" s="21"/>
      <c r="P79" s="19"/>
      <c r="Q79" s="19"/>
      <c r="R79" s="20"/>
      <c r="T79" s="19"/>
      <c r="U79" s="22"/>
      <c r="V79" s="19"/>
    </row>
    <row r="80" spans="1:22" x14ac:dyDescent="0.2">
      <c r="K80" s="23" t="s">
        <v>22</v>
      </c>
      <c r="L80" s="20">
        <f>H3</f>
        <v>0</v>
      </c>
      <c r="P80" s="24"/>
      <c r="Q80" s="25"/>
      <c r="S80" s="25"/>
      <c r="T80" s="26"/>
      <c r="U80" s="27"/>
      <c r="V80" s="29"/>
    </row>
    <row r="81" spans="11:22" x14ac:dyDescent="0.2">
      <c r="K81" s="23" t="s">
        <v>23</v>
      </c>
      <c r="L81" s="28"/>
      <c r="N81" s="29"/>
      <c r="O81" s="1" t="s">
        <v>24</v>
      </c>
      <c r="P81" s="72">
        <f>H4</f>
        <v>0</v>
      </c>
      <c r="Q81" s="72"/>
      <c r="R81" s="73">
        <f>H5</f>
        <v>0</v>
      </c>
      <c r="S81" s="73"/>
      <c r="U81" s="27"/>
      <c r="V81" s="29"/>
    </row>
    <row r="82" spans="11:22" x14ac:dyDescent="0.2">
      <c r="K82" s="23" t="s">
        <v>25</v>
      </c>
      <c r="L82" s="1">
        <f>C5</f>
        <v>0</v>
      </c>
      <c r="N82" s="29"/>
      <c r="P82" s="26"/>
      <c r="Q82" s="25"/>
      <c r="R82" s="31"/>
      <c r="S82" s="25"/>
      <c r="T82" s="29"/>
      <c r="U82" s="27"/>
      <c r="V82" s="29"/>
    </row>
    <row r="83" spans="11:22" x14ac:dyDescent="0.2">
      <c r="K83" s="23" t="s">
        <v>26</v>
      </c>
      <c r="L83" s="32">
        <f>H2</f>
        <v>45259</v>
      </c>
      <c r="P83" s="26"/>
      <c r="Q83" s="33"/>
      <c r="R83" s="31"/>
      <c r="S83" s="25"/>
      <c r="T83" s="29"/>
      <c r="U83" s="27"/>
      <c r="V83" s="29"/>
    </row>
    <row r="84" spans="11:22" ht="16.5" customHeight="1" x14ac:dyDescent="0.25">
      <c r="K84" s="23"/>
      <c r="N84" s="74" t="s">
        <v>30</v>
      </c>
      <c r="O84" s="74"/>
      <c r="P84" s="74"/>
      <c r="Q84" s="74"/>
      <c r="R84" s="74"/>
      <c r="S84" s="74"/>
      <c r="T84" s="74"/>
      <c r="U84" s="27"/>
      <c r="V84" s="29"/>
    </row>
    <row r="85" spans="11:22" x14ac:dyDescent="0.2">
      <c r="K85" s="23"/>
      <c r="Q85" s="26"/>
      <c r="R85" s="31"/>
      <c r="S85" s="31"/>
      <c r="U85" s="27"/>
      <c r="V85" s="29"/>
    </row>
    <row r="86" spans="11:22" ht="27" x14ac:dyDescent="0.2">
      <c r="K86" s="54" t="s">
        <v>31</v>
      </c>
      <c r="L86" s="55" t="s">
        <v>32</v>
      </c>
      <c r="N86" s="38"/>
      <c r="O86" s="38"/>
      <c r="P86" s="38"/>
      <c r="Q86" s="29"/>
      <c r="R86" s="29"/>
      <c r="S86" s="29"/>
      <c r="T86" s="29"/>
      <c r="U86" s="39"/>
      <c r="V86" s="37"/>
    </row>
    <row r="87" spans="11:22" x14ac:dyDescent="0.2">
      <c r="K87" s="56">
        <v>0</v>
      </c>
      <c r="L87" s="44">
        <v>0</v>
      </c>
      <c r="M87" s="53"/>
      <c r="N87" s="53"/>
      <c r="O87" s="25"/>
      <c r="Q87" s="29"/>
      <c r="R87" s="29"/>
      <c r="S87" s="29"/>
      <c r="T87" s="29"/>
      <c r="U87" s="27"/>
      <c r="V87" s="29"/>
    </row>
    <row r="88" spans="11:22" x14ac:dyDescent="0.2">
      <c r="K88" s="42">
        <v>3.85</v>
      </c>
      <c r="L88" s="43">
        <v>0.14666666666666667</v>
      </c>
      <c r="M88" s="57"/>
      <c r="N88" s="57"/>
      <c r="O88" s="25"/>
      <c r="Q88" s="29"/>
      <c r="R88" s="29"/>
      <c r="S88" s="29"/>
      <c r="T88" s="29"/>
      <c r="U88" s="27"/>
      <c r="V88" s="29"/>
    </row>
    <row r="89" spans="11:22" x14ac:dyDescent="0.2">
      <c r="K89" s="42">
        <v>7.7</v>
      </c>
      <c r="L89" s="43">
        <v>0.41333333333333333</v>
      </c>
      <c r="M89" s="57"/>
      <c r="N89" s="57"/>
      <c r="O89" s="25"/>
      <c r="Q89" s="29"/>
      <c r="R89" s="29"/>
      <c r="S89" s="29"/>
      <c r="T89" s="29"/>
      <c r="U89" s="27"/>
      <c r="V89" s="29"/>
    </row>
    <row r="90" spans="11:22" x14ac:dyDescent="0.2">
      <c r="K90" s="42">
        <v>11.55</v>
      </c>
      <c r="L90" s="43">
        <v>0.78333333333333321</v>
      </c>
      <c r="M90" s="57"/>
      <c r="N90" s="57"/>
      <c r="O90" s="25"/>
      <c r="Q90" s="29"/>
      <c r="R90" s="29"/>
      <c r="S90" s="29"/>
      <c r="T90" s="29"/>
      <c r="U90" s="27"/>
      <c r="V90" s="29"/>
    </row>
    <row r="91" spans="11:22" x14ac:dyDescent="0.2">
      <c r="K91" s="42">
        <v>15.4</v>
      </c>
      <c r="L91" s="43">
        <v>1.2866666666666666</v>
      </c>
      <c r="M91" s="57"/>
      <c r="N91" s="57"/>
      <c r="O91" s="25"/>
      <c r="Q91" s="29"/>
      <c r="R91" s="29"/>
      <c r="S91" s="29"/>
      <c r="T91" s="29"/>
      <c r="U91" s="27"/>
      <c r="V91" s="29"/>
    </row>
    <row r="92" spans="11:22" x14ac:dyDescent="0.2">
      <c r="K92" s="42">
        <v>19.25</v>
      </c>
      <c r="L92" s="43">
        <v>3.2066666666666666</v>
      </c>
      <c r="M92" s="57"/>
      <c r="N92" s="57"/>
      <c r="O92" s="25"/>
      <c r="Q92" s="29"/>
      <c r="R92" s="29"/>
      <c r="S92" s="29"/>
      <c r="T92" s="29"/>
      <c r="U92" s="27"/>
      <c r="V92" s="29"/>
    </row>
    <row r="93" spans="11:22" x14ac:dyDescent="0.2">
      <c r="K93" s="42">
        <v>15.4</v>
      </c>
      <c r="L93" s="43">
        <v>3.15</v>
      </c>
      <c r="M93" s="57"/>
      <c r="N93" s="57"/>
      <c r="O93" s="25"/>
      <c r="Q93" s="29"/>
      <c r="R93" s="29"/>
      <c r="S93" s="29"/>
      <c r="T93" s="29"/>
      <c r="U93" s="27"/>
      <c r="V93" s="29"/>
    </row>
    <row r="94" spans="11:22" x14ac:dyDescent="0.2">
      <c r="K94" s="45">
        <v>11.55</v>
      </c>
      <c r="L94" s="43">
        <v>3.01</v>
      </c>
      <c r="M94" s="57"/>
      <c r="N94" s="57"/>
      <c r="O94" s="25"/>
      <c r="Q94" s="29"/>
      <c r="R94" s="29"/>
      <c r="S94" s="29"/>
      <c r="T94" s="29"/>
      <c r="U94" s="27"/>
      <c r="V94" s="29"/>
    </row>
    <row r="95" spans="11:22" x14ac:dyDescent="0.2">
      <c r="K95" s="45">
        <v>7.7</v>
      </c>
      <c r="L95" s="43">
        <v>2.7699999999999996</v>
      </c>
      <c r="M95" s="57"/>
      <c r="N95" s="57"/>
      <c r="O95" s="25"/>
      <c r="Q95" s="29"/>
      <c r="R95" s="29"/>
      <c r="S95" s="29"/>
      <c r="T95" s="29"/>
      <c r="U95" s="27"/>
      <c r="V95" s="29"/>
    </row>
    <row r="96" spans="11:22" x14ac:dyDescent="0.2">
      <c r="K96" s="45">
        <v>3.85</v>
      </c>
      <c r="L96" s="43">
        <v>2.5733333333333328</v>
      </c>
      <c r="M96" s="57"/>
      <c r="N96" s="25"/>
      <c r="O96" s="25"/>
      <c r="Q96" s="29"/>
      <c r="R96" s="29"/>
      <c r="S96" s="29"/>
      <c r="T96" s="29"/>
      <c r="U96" s="27"/>
      <c r="V96" s="29"/>
    </row>
    <row r="97" spans="8:22" x14ac:dyDescent="0.2">
      <c r="K97" s="45">
        <v>0</v>
      </c>
      <c r="L97" s="44">
        <v>2.4699999999999998</v>
      </c>
      <c r="M97" s="57"/>
      <c r="N97" s="25"/>
      <c r="O97" s="25"/>
      <c r="Q97" s="29"/>
      <c r="R97" s="29"/>
      <c r="S97" s="29"/>
      <c r="T97" s="29"/>
      <c r="U97" s="27"/>
      <c r="V97" s="29"/>
    </row>
    <row r="98" spans="8:22" x14ac:dyDescent="0.2">
      <c r="K98" s="46"/>
      <c r="L98" s="44"/>
      <c r="M98" s="57"/>
      <c r="N98" s="25"/>
      <c r="O98" s="25"/>
      <c r="Q98" s="29"/>
      <c r="R98" s="29"/>
      <c r="S98" s="29"/>
      <c r="T98" s="29"/>
      <c r="U98" s="27"/>
      <c r="V98" s="29"/>
    </row>
    <row r="99" spans="8:22" x14ac:dyDescent="0.2">
      <c r="K99" s="58"/>
      <c r="L99" s="44"/>
      <c r="M99" s="25"/>
      <c r="N99" s="25"/>
      <c r="O99" s="25"/>
      <c r="Q99" s="29"/>
      <c r="R99" s="29"/>
      <c r="S99" s="29"/>
      <c r="T99" s="29"/>
      <c r="U99" s="27"/>
      <c r="V99" s="29"/>
    </row>
    <row r="100" spans="8:22" x14ac:dyDescent="0.2">
      <c r="K100" s="59"/>
      <c r="L100" s="60"/>
      <c r="M100" s="25"/>
      <c r="N100" s="25"/>
      <c r="O100" s="25"/>
      <c r="Q100" s="29"/>
      <c r="R100" s="29"/>
      <c r="S100" s="29"/>
      <c r="T100" s="29"/>
      <c r="U100" s="27"/>
      <c r="V100" s="29"/>
    </row>
    <row r="101" spans="8:22" ht="13.5" thickBot="1" x14ac:dyDescent="0.25">
      <c r="K101" s="61"/>
      <c r="L101" s="62"/>
      <c r="M101" s="49"/>
      <c r="N101" s="49"/>
      <c r="O101" s="49"/>
      <c r="P101" s="50"/>
      <c r="Q101" s="50"/>
      <c r="R101" s="50"/>
      <c r="S101" s="50"/>
      <c r="T101" s="50"/>
      <c r="U101" s="51"/>
      <c r="V101" s="29"/>
    </row>
    <row r="102" spans="8:22" x14ac:dyDescent="0.2">
      <c r="H102" s="1">
        <v>4</v>
      </c>
      <c r="L102" s="26"/>
    </row>
    <row r="103" spans="8:22" x14ac:dyDescent="0.2">
      <c r="L103" s="26"/>
    </row>
    <row r="104" spans="8:22" ht="18.75" customHeight="1" x14ac:dyDescent="0.2"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</sheetData>
  <mergeCells count="54">
    <mergeCell ref="A1:I1"/>
    <mergeCell ref="A2:B2"/>
    <mergeCell ref="C2:D2"/>
    <mergeCell ref="E2:F2"/>
    <mergeCell ref="H2:I2"/>
    <mergeCell ref="H3:I3"/>
    <mergeCell ref="E7:G7"/>
    <mergeCell ref="A4:B4"/>
    <mergeCell ref="C4:D4"/>
    <mergeCell ref="E4:F4"/>
    <mergeCell ref="H4:I4"/>
    <mergeCell ref="A5:B5"/>
    <mergeCell ref="C5:D5"/>
    <mergeCell ref="E5:F5"/>
    <mergeCell ref="H5:I5"/>
    <mergeCell ref="C9:C15"/>
    <mergeCell ref="B9:B15"/>
    <mergeCell ref="A3:B3"/>
    <mergeCell ref="C3:D3"/>
    <mergeCell ref="E3:F3"/>
    <mergeCell ref="H16:H21"/>
    <mergeCell ref="I16:I21"/>
    <mergeCell ref="H23:H28"/>
    <mergeCell ref="I23:I28"/>
    <mergeCell ref="I9:I14"/>
    <mergeCell ref="H9:H14"/>
    <mergeCell ref="K77:U77"/>
    <mergeCell ref="H30:H35"/>
    <mergeCell ref="I30:I35"/>
    <mergeCell ref="H37:H42"/>
    <mergeCell ref="I37:I42"/>
    <mergeCell ref="K50:U50"/>
    <mergeCell ref="K51:U51"/>
    <mergeCell ref="P54:Q54"/>
    <mergeCell ref="R54:S54"/>
    <mergeCell ref="N57:T57"/>
    <mergeCell ref="K78:U78"/>
    <mergeCell ref="P81:Q81"/>
    <mergeCell ref="R81:S81"/>
    <mergeCell ref="N84:T84"/>
    <mergeCell ref="K104:U104"/>
    <mergeCell ref="B37:B43"/>
    <mergeCell ref="B30:B36"/>
    <mergeCell ref="B23:B29"/>
    <mergeCell ref="B16:B22"/>
    <mergeCell ref="C16:C22"/>
    <mergeCell ref="C30:C36"/>
    <mergeCell ref="C37:C43"/>
    <mergeCell ref="C23:C29"/>
    <mergeCell ref="A37:A43"/>
    <mergeCell ref="A30:A36"/>
    <mergeCell ref="A23:A29"/>
    <mergeCell ref="A16:A22"/>
    <mergeCell ref="A9:A15"/>
  </mergeCells>
  <pageMargins left="1.41" right="0.22" top="1" bottom="0.6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0CE9-2EDC-40E1-A7B5-E3033E8D0BCC}">
  <dimension ref="A1:V104"/>
  <sheetViews>
    <sheetView topLeftCell="A23" zoomScaleNormal="100" workbookViewId="0">
      <selection activeCell="H37" sqref="H37:H42"/>
    </sheetView>
  </sheetViews>
  <sheetFormatPr defaultRowHeight="12.75" x14ac:dyDescent="0.2"/>
  <cols>
    <col min="1" max="2" width="10.5703125" style="1" customWidth="1"/>
    <col min="3" max="3" width="10.5703125" style="1" hidden="1" customWidth="1"/>
    <col min="4" max="7" width="10.5703125" style="1" customWidth="1"/>
    <col min="8" max="8" width="11.42578125" style="1" customWidth="1"/>
    <col min="9" max="9" width="11.7109375" style="1" customWidth="1"/>
    <col min="10" max="11" width="9.140625" style="1"/>
    <col min="12" max="12" width="10.7109375" style="1" customWidth="1"/>
    <col min="13" max="20" width="9.140625" style="1"/>
    <col min="21" max="21" width="9.42578125" style="1" customWidth="1"/>
    <col min="22" max="182" width="9.140625" style="1"/>
    <col min="183" max="183" width="10.7109375" style="1" customWidth="1"/>
    <col min="184" max="191" width="9.140625" style="1"/>
    <col min="192" max="192" width="9.42578125" style="1" customWidth="1"/>
    <col min="193" max="438" width="9.140625" style="1"/>
    <col min="439" max="439" width="10.7109375" style="1" customWidth="1"/>
    <col min="440" max="447" width="9.140625" style="1"/>
    <col min="448" max="448" width="9.42578125" style="1" customWidth="1"/>
    <col min="449" max="694" width="9.140625" style="1"/>
    <col min="695" max="695" width="10.7109375" style="1" customWidth="1"/>
    <col min="696" max="703" width="9.140625" style="1"/>
    <col min="704" max="704" width="9.42578125" style="1" customWidth="1"/>
    <col min="705" max="950" width="9.140625" style="1"/>
    <col min="951" max="951" width="10.7109375" style="1" customWidth="1"/>
    <col min="952" max="959" width="9.140625" style="1"/>
    <col min="960" max="960" width="9.42578125" style="1" customWidth="1"/>
    <col min="961" max="1206" width="9.140625" style="1"/>
    <col min="1207" max="1207" width="10.7109375" style="1" customWidth="1"/>
    <col min="1208" max="1215" width="9.140625" style="1"/>
    <col min="1216" max="1216" width="9.42578125" style="1" customWidth="1"/>
    <col min="1217" max="1462" width="9.140625" style="1"/>
    <col min="1463" max="1463" width="10.7109375" style="1" customWidth="1"/>
    <col min="1464" max="1471" width="9.140625" style="1"/>
    <col min="1472" max="1472" width="9.42578125" style="1" customWidth="1"/>
    <col min="1473" max="1718" width="9.140625" style="1"/>
    <col min="1719" max="1719" width="10.7109375" style="1" customWidth="1"/>
    <col min="1720" max="1727" width="9.140625" style="1"/>
    <col min="1728" max="1728" width="9.42578125" style="1" customWidth="1"/>
    <col min="1729" max="1974" width="9.140625" style="1"/>
    <col min="1975" max="1975" width="10.7109375" style="1" customWidth="1"/>
    <col min="1976" max="1983" width="9.140625" style="1"/>
    <col min="1984" max="1984" width="9.42578125" style="1" customWidth="1"/>
    <col min="1985" max="2230" width="9.140625" style="1"/>
    <col min="2231" max="2231" width="10.7109375" style="1" customWidth="1"/>
    <col min="2232" max="2239" width="9.140625" style="1"/>
    <col min="2240" max="2240" width="9.42578125" style="1" customWidth="1"/>
    <col min="2241" max="2486" width="9.140625" style="1"/>
    <col min="2487" max="2487" width="10.7109375" style="1" customWidth="1"/>
    <col min="2488" max="2495" width="9.140625" style="1"/>
    <col min="2496" max="2496" width="9.42578125" style="1" customWidth="1"/>
    <col min="2497" max="2742" width="9.140625" style="1"/>
    <col min="2743" max="2743" width="10.7109375" style="1" customWidth="1"/>
    <col min="2744" max="2751" width="9.140625" style="1"/>
    <col min="2752" max="2752" width="9.42578125" style="1" customWidth="1"/>
    <col min="2753" max="2998" width="9.140625" style="1"/>
    <col min="2999" max="2999" width="10.7109375" style="1" customWidth="1"/>
    <col min="3000" max="3007" width="9.140625" style="1"/>
    <col min="3008" max="3008" width="9.42578125" style="1" customWidth="1"/>
    <col min="3009" max="3254" width="9.140625" style="1"/>
    <col min="3255" max="3255" width="10.7109375" style="1" customWidth="1"/>
    <col min="3256" max="3263" width="9.140625" style="1"/>
    <col min="3264" max="3264" width="9.42578125" style="1" customWidth="1"/>
    <col min="3265" max="3510" width="9.140625" style="1"/>
    <col min="3511" max="3511" width="10.7109375" style="1" customWidth="1"/>
    <col min="3512" max="3519" width="9.140625" style="1"/>
    <col min="3520" max="3520" width="9.42578125" style="1" customWidth="1"/>
    <col min="3521" max="3766" width="9.140625" style="1"/>
    <col min="3767" max="3767" width="10.7109375" style="1" customWidth="1"/>
    <col min="3768" max="3775" width="9.140625" style="1"/>
    <col min="3776" max="3776" width="9.42578125" style="1" customWidth="1"/>
    <col min="3777" max="4022" width="9.140625" style="1"/>
    <col min="4023" max="4023" width="10.7109375" style="1" customWidth="1"/>
    <col min="4024" max="4031" width="9.140625" style="1"/>
    <col min="4032" max="4032" width="9.42578125" style="1" customWidth="1"/>
    <col min="4033" max="4278" width="9.140625" style="1"/>
    <col min="4279" max="4279" width="10.7109375" style="1" customWidth="1"/>
    <col min="4280" max="4287" width="9.140625" style="1"/>
    <col min="4288" max="4288" width="9.42578125" style="1" customWidth="1"/>
    <col min="4289" max="4534" width="9.140625" style="1"/>
    <col min="4535" max="4535" width="10.7109375" style="1" customWidth="1"/>
    <col min="4536" max="4543" width="9.140625" style="1"/>
    <col min="4544" max="4544" width="9.42578125" style="1" customWidth="1"/>
    <col min="4545" max="4790" width="9.140625" style="1"/>
    <col min="4791" max="4791" width="10.7109375" style="1" customWidth="1"/>
    <col min="4792" max="4799" width="9.140625" style="1"/>
    <col min="4800" max="4800" width="9.42578125" style="1" customWidth="1"/>
    <col min="4801" max="5046" width="9.140625" style="1"/>
    <col min="5047" max="5047" width="10.7109375" style="1" customWidth="1"/>
    <col min="5048" max="5055" width="9.140625" style="1"/>
    <col min="5056" max="5056" width="9.42578125" style="1" customWidth="1"/>
    <col min="5057" max="5302" width="9.140625" style="1"/>
    <col min="5303" max="5303" width="10.7109375" style="1" customWidth="1"/>
    <col min="5304" max="5311" width="9.140625" style="1"/>
    <col min="5312" max="5312" width="9.42578125" style="1" customWidth="1"/>
    <col min="5313" max="5558" width="9.140625" style="1"/>
    <col min="5559" max="5559" width="10.7109375" style="1" customWidth="1"/>
    <col min="5560" max="5567" width="9.140625" style="1"/>
    <col min="5568" max="5568" width="9.42578125" style="1" customWidth="1"/>
    <col min="5569" max="5814" width="9.140625" style="1"/>
    <col min="5815" max="5815" width="10.7109375" style="1" customWidth="1"/>
    <col min="5816" max="5823" width="9.140625" style="1"/>
    <col min="5824" max="5824" width="9.42578125" style="1" customWidth="1"/>
    <col min="5825" max="6070" width="9.140625" style="1"/>
    <col min="6071" max="6071" width="10.7109375" style="1" customWidth="1"/>
    <col min="6072" max="6079" width="9.140625" style="1"/>
    <col min="6080" max="6080" width="9.42578125" style="1" customWidth="1"/>
    <col min="6081" max="6326" width="9.140625" style="1"/>
    <col min="6327" max="6327" width="10.7109375" style="1" customWidth="1"/>
    <col min="6328" max="6335" width="9.140625" style="1"/>
    <col min="6336" max="6336" width="9.42578125" style="1" customWidth="1"/>
    <col min="6337" max="6582" width="9.140625" style="1"/>
    <col min="6583" max="6583" width="10.7109375" style="1" customWidth="1"/>
    <col min="6584" max="6591" width="9.140625" style="1"/>
    <col min="6592" max="6592" width="9.42578125" style="1" customWidth="1"/>
    <col min="6593" max="6838" width="9.140625" style="1"/>
    <col min="6839" max="6839" width="10.7109375" style="1" customWidth="1"/>
    <col min="6840" max="6847" width="9.140625" style="1"/>
    <col min="6848" max="6848" width="9.42578125" style="1" customWidth="1"/>
    <col min="6849" max="7094" width="9.140625" style="1"/>
    <col min="7095" max="7095" width="10.7109375" style="1" customWidth="1"/>
    <col min="7096" max="7103" width="9.140625" style="1"/>
    <col min="7104" max="7104" width="9.42578125" style="1" customWidth="1"/>
    <col min="7105" max="7350" width="9.140625" style="1"/>
    <col min="7351" max="7351" width="10.7109375" style="1" customWidth="1"/>
    <col min="7352" max="7359" width="9.140625" style="1"/>
    <col min="7360" max="7360" width="9.42578125" style="1" customWidth="1"/>
    <col min="7361" max="7606" width="9.140625" style="1"/>
    <col min="7607" max="7607" width="10.7109375" style="1" customWidth="1"/>
    <col min="7608" max="7615" width="9.140625" style="1"/>
    <col min="7616" max="7616" width="9.42578125" style="1" customWidth="1"/>
    <col min="7617" max="7862" width="9.140625" style="1"/>
    <col min="7863" max="7863" width="10.7109375" style="1" customWidth="1"/>
    <col min="7864" max="7871" width="9.140625" style="1"/>
    <col min="7872" max="7872" width="9.42578125" style="1" customWidth="1"/>
    <col min="7873" max="8118" width="9.140625" style="1"/>
    <col min="8119" max="8119" width="10.7109375" style="1" customWidth="1"/>
    <col min="8120" max="8127" width="9.140625" style="1"/>
    <col min="8128" max="8128" width="9.42578125" style="1" customWidth="1"/>
    <col min="8129" max="8374" width="9.140625" style="1"/>
    <col min="8375" max="8375" width="10.7109375" style="1" customWidth="1"/>
    <col min="8376" max="8383" width="9.140625" style="1"/>
    <col min="8384" max="8384" width="9.42578125" style="1" customWidth="1"/>
    <col min="8385" max="8630" width="9.140625" style="1"/>
    <col min="8631" max="8631" width="10.7109375" style="1" customWidth="1"/>
    <col min="8632" max="8639" width="9.140625" style="1"/>
    <col min="8640" max="8640" width="9.42578125" style="1" customWidth="1"/>
    <col min="8641" max="8886" width="9.140625" style="1"/>
    <col min="8887" max="8887" width="10.7109375" style="1" customWidth="1"/>
    <col min="8888" max="8895" width="9.140625" style="1"/>
    <col min="8896" max="8896" width="9.42578125" style="1" customWidth="1"/>
    <col min="8897" max="9142" width="9.140625" style="1"/>
    <col min="9143" max="9143" width="10.7109375" style="1" customWidth="1"/>
    <col min="9144" max="9151" width="9.140625" style="1"/>
    <col min="9152" max="9152" width="9.42578125" style="1" customWidth="1"/>
    <col min="9153" max="9398" width="9.140625" style="1"/>
    <col min="9399" max="9399" width="10.7109375" style="1" customWidth="1"/>
    <col min="9400" max="9407" width="9.140625" style="1"/>
    <col min="9408" max="9408" width="9.42578125" style="1" customWidth="1"/>
    <col min="9409" max="9654" width="9.140625" style="1"/>
    <col min="9655" max="9655" width="10.7109375" style="1" customWidth="1"/>
    <col min="9656" max="9663" width="9.140625" style="1"/>
    <col min="9664" max="9664" width="9.42578125" style="1" customWidth="1"/>
    <col min="9665" max="9910" width="9.140625" style="1"/>
    <col min="9911" max="9911" width="10.7109375" style="1" customWidth="1"/>
    <col min="9912" max="9919" width="9.140625" style="1"/>
    <col min="9920" max="9920" width="9.42578125" style="1" customWidth="1"/>
    <col min="9921" max="10166" width="9.140625" style="1"/>
    <col min="10167" max="10167" width="10.7109375" style="1" customWidth="1"/>
    <col min="10168" max="10175" width="9.140625" style="1"/>
    <col min="10176" max="10176" width="9.42578125" style="1" customWidth="1"/>
    <col min="10177" max="10422" width="9.140625" style="1"/>
    <col min="10423" max="10423" width="10.7109375" style="1" customWidth="1"/>
    <col min="10424" max="10431" width="9.140625" style="1"/>
    <col min="10432" max="10432" width="9.42578125" style="1" customWidth="1"/>
    <col min="10433" max="10678" width="9.140625" style="1"/>
    <col min="10679" max="10679" width="10.7109375" style="1" customWidth="1"/>
    <col min="10680" max="10687" width="9.140625" style="1"/>
    <col min="10688" max="10688" width="9.42578125" style="1" customWidth="1"/>
    <col min="10689" max="10934" width="9.140625" style="1"/>
    <col min="10935" max="10935" width="10.7109375" style="1" customWidth="1"/>
    <col min="10936" max="10943" width="9.140625" style="1"/>
    <col min="10944" max="10944" width="9.42578125" style="1" customWidth="1"/>
    <col min="10945" max="11190" width="9.140625" style="1"/>
    <col min="11191" max="11191" width="10.7109375" style="1" customWidth="1"/>
    <col min="11192" max="11199" width="9.140625" style="1"/>
    <col min="11200" max="11200" width="9.42578125" style="1" customWidth="1"/>
    <col min="11201" max="11446" width="9.140625" style="1"/>
    <col min="11447" max="11447" width="10.7109375" style="1" customWidth="1"/>
    <col min="11448" max="11455" width="9.140625" style="1"/>
    <col min="11456" max="11456" width="9.42578125" style="1" customWidth="1"/>
    <col min="11457" max="11702" width="9.140625" style="1"/>
    <col min="11703" max="11703" width="10.7109375" style="1" customWidth="1"/>
    <col min="11704" max="11711" width="9.140625" style="1"/>
    <col min="11712" max="11712" width="9.42578125" style="1" customWidth="1"/>
    <col min="11713" max="11958" width="9.140625" style="1"/>
    <col min="11959" max="11959" width="10.7109375" style="1" customWidth="1"/>
    <col min="11960" max="11967" width="9.140625" style="1"/>
    <col min="11968" max="11968" width="9.42578125" style="1" customWidth="1"/>
    <col min="11969" max="12214" width="9.140625" style="1"/>
    <col min="12215" max="12215" width="10.7109375" style="1" customWidth="1"/>
    <col min="12216" max="12223" width="9.140625" style="1"/>
    <col min="12224" max="12224" width="9.42578125" style="1" customWidth="1"/>
    <col min="12225" max="12470" width="9.140625" style="1"/>
    <col min="12471" max="12471" width="10.7109375" style="1" customWidth="1"/>
    <col min="12472" max="12479" width="9.140625" style="1"/>
    <col min="12480" max="12480" width="9.42578125" style="1" customWidth="1"/>
    <col min="12481" max="12726" width="9.140625" style="1"/>
    <col min="12727" max="12727" width="10.7109375" style="1" customWidth="1"/>
    <col min="12728" max="12735" width="9.140625" style="1"/>
    <col min="12736" max="12736" width="9.42578125" style="1" customWidth="1"/>
    <col min="12737" max="12982" width="9.140625" style="1"/>
    <col min="12983" max="12983" width="10.7109375" style="1" customWidth="1"/>
    <col min="12984" max="12991" width="9.140625" style="1"/>
    <col min="12992" max="12992" width="9.42578125" style="1" customWidth="1"/>
    <col min="12993" max="13238" width="9.140625" style="1"/>
    <col min="13239" max="13239" width="10.7109375" style="1" customWidth="1"/>
    <col min="13240" max="13247" width="9.140625" style="1"/>
    <col min="13248" max="13248" width="9.42578125" style="1" customWidth="1"/>
    <col min="13249" max="13494" width="9.140625" style="1"/>
    <col min="13495" max="13495" width="10.7109375" style="1" customWidth="1"/>
    <col min="13496" max="13503" width="9.140625" style="1"/>
    <col min="13504" max="13504" width="9.42578125" style="1" customWidth="1"/>
    <col min="13505" max="13750" width="9.140625" style="1"/>
    <col min="13751" max="13751" width="10.7109375" style="1" customWidth="1"/>
    <col min="13752" max="13759" width="9.140625" style="1"/>
    <col min="13760" max="13760" width="9.42578125" style="1" customWidth="1"/>
    <col min="13761" max="14006" width="9.140625" style="1"/>
    <col min="14007" max="14007" width="10.7109375" style="1" customWidth="1"/>
    <col min="14008" max="14015" width="9.140625" style="1"/>
    <col min="14016" max="14016" width="9.42578125" style="1" customWidth="1"/>
    <col min="14017" max="14262" width="9.140625" style="1"/>
    <col min="14263" max="14263" width="10.7109375" style="1" customWidth="1"/>
    <col min="14264" max="14271" width="9.140625" style="1"/>
    <col min="14272" max="14272" width="9.42578125" style="1" customWidth="1"/>
    <col min="14273" max="14518" width="9.140625" style="1"/>
    <col min="14519" max="14519" width="10.7109375" style="1" customWidth="1"/>
    <col min="14520" max="14527" width="9.140625" style="1"/>
    <col min="14528" max="14528" width="9.42578125" style="1" customWidth="1"/>
    <col min="14529" max="14774" width="9.140625" style="1"/>
    <col min="14775" max="14775" width="10.7109375" style="1" customWidth="1"/>
    <col min="14776" max="14783" width="9.140625" style="1"/>
    <col min="14784" max="14784" width="9.42578125" style="1" customWidth="1"/>
    <col min="14785" max="15030" width="9.140625" style="1"/>
    <col min="15031" max="15031" width="10.7109375" style="1" customWidth="1"/>
    <col min="15032" max="15039" width="9.140625" style="1"/>
    <col min="15040" max="15040" width="9.42578125" style="1" customWidth="1"/>
    <col min="15041" max="15286" width="9.140625" style="1"/>
    <col min="15287" max="15287" width="10.7109375" style="1" customWidth="1"/>
    <col min="15288" max="15295" width="9.140625" style="1"/>
    <col min="15296" max="15296" width="9.42578125" style="1" customWidth="1"/>
    <col min="15297" max="15542" width="9.140625" style="1"/>
    <col min="15543" max="15543" width="10.7109375" style="1" customWidth="1"/>
    <col min="15544" max="15551" width="9.140625" style="1"/>
    <col min="15552" max="15552" width="9.42578125" style="1" customWidth="1"/>
    <col min="15553" max="15798" width="9.140625" style="1"/>
    <col min="15799" max="15799" width="10.7109375" style="1" customWidth="1"/>
    <col min="15800" max="15807" width="9.140625" style="1"/>
    <col min="15808" max="15808" width="9.42578125" style="1" customWidth="1"/>
    <col min="15809" max="16054" width="9.140625" style="1"/>
    <col min="16055" max="16055" width="10.7109375" style="1" customWidth="1"/>
    <col min="16056" max="16063" width="9.140625" style="1"/>
    <col min="16064" max="16064" width="9.42578125" style="1" customWidth="1"/>
    <col min="16065" max="16384" width="9.140625" style="1"/>
  </cols>
  <sheetData>
    <row r="1" spans="1:9" ht="14.25" x14ac:dyDescent="0.2">
      <c r="A1" s="95" t="s">
        <v>35</v>
      </c>
      <c r="B1" s="96"/>
      <c r="C1" s="96"/>
      <c r="D1" s="96"/>
      <c r="E1" s="96"/>
      <c r="F1" s="96"/>
      <c r="G1" s="96"/>
      <c r="H1" s="96"/>
      <c r="I1" s="97"/>
    </row>
    <row r="2" spans="1:9" ht="15" x14ac:dyDescent="0.2">
      <c r="A2" s="91" t="s">
        <v>0</v>
      </c>
      <c r="B2" s="92"/>
      <c r="C2" s="93" t="s">
        <v>36</v>
      </c>
      <c r="D2" s="93"/>
      <c r="E2" s="92" t="s">
        <v>1</v>
      </c>
      <c r="F2" s="92"/>
      <c r="G2" s="63"/>
      <c r="H2" s="98">
        <v>45259</v>
      </c>
      <c r="I2" s="94"/>
    </row>
    <row r="3" spans="1:9" ht="15" x14ac:dyDescent="0.2">
      <c r="A3" s="91" t="s">
        <v>2</v>
      </c>
      <c r="B3" s="92"/>
      <c r="C3" s="93" t="s">
        <v>37</v>
      </c>
      <c r="D3" s="93"/>
      <c r="E3" s="92" t="s">
        <v>3</v>
      </c>
      <c r="F3" s="92"/>
      <c r="G3" s="63"/>
      <c r="H3" s="93"/>
      <c r="I3" s="94"/>
    </row>
    <row r="4" spans="1:9" ht="15" x14ac:dyDescent="0.2">
      <c r="A4" s="91" t="s">
        <v>4</v>
      </c>
      <c r="B4" s="92"/>
      <c r="C4" s="93">
        <v>2</v>
      </c>
      <c r="D4" s="93"/>
      <c r="E4" s="92"/>
      <c r="F4" s="92"/>
      <c r="G4" s="63"/>
      <c r="H4" s="93"/>
      <c r="I4" s="94"/>
    </row>
    <row r="5" spans="1:9" ht="15" x14ac:dyDescent="0.2">
      <c r="A5" s="91"/>
      <c r="B5" s="92"/>
      <c r="C5" s="93"/>
      <c r="D5" s="93"/>
      <c r="E5" s="92"/>
      <c r="F5" s="92"/>
      <c r="G5" s="63"/>
      <c r="H5" s="93"/>
      <c r="I5" s="94"/>
    </row>
    <row r="6" spans="1:9" ht="15" x14ac:dyDescent="0.2">
      <c r="A6" s="2"/>
      <c r="B6" s="3"/>
      <c r="C6" s="3"/>
      <c r="D6" s="4"/>
      <c r="E6" s="4"/>
      <c r="F6" s="4"/>
      <c r="G6" s="4"/>
      <c r="H6" s="3"/>
      <c r="I6" s="5"/>
    </row>
    <row r="7" spans="1:9" ht="42.75" x14ac:dyDescent="0.2">
      <c r="A7" s="6" t="s">
        <v>5</v>
      </c>
      <c r="B7" s="6" t="s">
        <v>6</v>
      </c>
      <c r="C7" s="6" t="s">
        <v>7</v>
      </c>
      <c r="D7" s="6" t="s">
        <v>8</v>
      </c>
      <c r="E7" s="87" t="s">
        <v>9</v>
      </c>
      <c r="F7" s="88"/>
      <c r="G7" s="89"/>
      <c r="H7" s="6" t="s">
        <v>10</v>
      </c>
      <c r="I7" s="6" t="s">
        <v>11</v>
      </c>
    </row>
    <row r="8" spans="1:9" ht="16.5" x14ac:dyDescent="0.2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34</v>
      </c>
      <c r="H8" s="7" t="s">
        <v>18</v>
      </c>
      <c r="I8" s="7" t="s">
        <v>18</v>
      </c>
    </row>
    <row r="9" spans="1:9" ht="15" x14ac:dyDescent="0.2">
      <c r="A9" s="79">
        <v>25</v>
      </c>
      <c r="B9" s="82">
        <f>A9*154/1000</f>
        <v>3.85</v>
      </c>
      <c r="C9" s="82">
        <f>B9/(0.07)</f>
        <v>54.999999999999993</v>
      </c>
      <c r="D9" s="8">
        <v>0</v>
      </c>
      <c r="E9" s="9">
        <v>0.19</v>
      </c>
      <c r="F9" s="9">
        <v>0.1</v>
      </c>
      <c r="G9" s="9">
        <v>0.09</v>
      </c>
      <c r="H9" s="82">
        <f>((E11-E9)+(F11-F9)+(G11-G9))/3</f>
        <v>0.35666666666666669</v>
      </c>
      <c r="I9" s="85">
        <f>H9</f>
        <v>0.35666666666666669</v>
      </c>
    </row>
    <row r="10" spans="1:9" ht="15" x14ac:dyDescent="0.2">
      <c r="A10" s="80"/>
      <c r="B10" s="83"/>
      <c r="C10" s="83"/>
      <c r="D10" s="10">
        <v>15</v>
      </c>
      <c r="E10" s="11"/>
      <c r="F10" s="11"/>
      <c r="G10" s="11"/>
      <c r="H10" s="83"/>
      <c r="I10" s="86"/>
    </row>
    <row r="11" spans="1:9" ht="15" x14ac:dyDescent="0.2">
      <c r="A11" s="80"/>
      <c r="B11" s="83"/>
      <c r="C11" s="83"/>
      <c r="D11" s="10">
        <v>30</v>
      </c>
      <c r="E11" s="11">
        <v>0.78</v>
      </c>
      <c r="F11" s="11">
        <v>0.39</v>
      </c>
      <c r="G11" s="11">
        <v>0.28000000000000003</v>
      </c>
      <c r="H11" s="83"/>
      <c r="I11" s="86"/>
    </row>
    <row r="12" spans="1:9" ht="15" hidden="1" customHeight="1" x14ac:dyDescent="0.2">
      <c r="A12" s="80"/>
      <c r="B12" s="83"/>
      <c r="C12" s="83"/>
      <c r="D12" s="10">
        <v>6.25</v>
      </c>
      <c r="E12" s="11"/>
      <c r="F12" s="11"/>
      <c r="G12" s="11"/>
      <c r="H12" s="83"/>
      <c r="I12" s="86"/>
    </row>
    <row r="13" spans="1:9" ht="15" hidden="1" customHeight="1" x14ac:dyDescent="0.2">
      <c r="A13" s="80"/>
      <c r="B13" s="83"/>
      <c r="C13" s="83"/>
      <c r="D13" s="10">
        <v>9</v>
      </c>
      <c r="E13" s="11"/>
      <c r="F13" s="11"/>
      <c r="G13" s="11"/>
      <c r="H13" s="83"/>
      <c r="I13" s="86"/>
    </row>
    <row r="14" spans="1:9" ht="15" hidden="1" customHeight="1" x14ac:dyDescent="0.2">
      <c r="A14" s="80"/>
      <c r="B14" s="83"/>
      <c r="C14" s="83"/>
      <c r="D14" s="12">
        <v>12</v>
      </c>
      <c r="E14" s="13"/>
      <c r="F14" s="13"/>
      <c r="G14" s="13"/>
      <c r="H14" s="84"/>
      <c r="I14" s="90"/>
    </row>
    <row r="15" spans="1:9" ht="15" hidden="1" customHeight="1" x14ac:dyDescent="0.2">
      <c r="A15" s="81"/>
      <c r="B15" s="84"/>
      <c r="C15" s="84"/>
      <c r="D15" s="10">
        <v>16</v>
      </c>
      <c r="E15" s="11">
        <v>1.59</v>
      </c>
      <c r="F15" s="11">
        <v>1.27</v>
      </c>
      <c r="G15" s="11"/>
      <c r="H15" s="64"/>
      <c r="I15" s="65"/>
    </row>
    <row r="16" spans="1:9" ht="15" x14ac:dyDescent="0.2">
      <c r="A16" s="79">
        <v>50</v>
      </c>
      <c r="B16" s="82">
        <f>A16*154/1000</f>
        <v>7.7</v>
      </c>
      <c r="C16" s="82">
        <f t="shared" ref="C16" si="0">B16/(0.07)</f>
        <v>109.99999999999999</v>
      </c>
      <c r="D16" s="8">
        <v>0</v>
      </c>
      <c r="E16" s="9">
        <f>E11</f>
        <v>0.78</v>
      </c>
      <c r="F16" s="9">
        <f>F11</f>
        <v>0.39</v>
      </c>
      <c r="G16" s="9">
        <f>G11</f>
        <v>0.28000000000000003</v>
      </c>
      <c r="H16" s="82">
        <f>((E18-E16)+(F18-F16)+(G18-G16))/3</f>
        <v>0.56333333333333335</v>
      </c>
      <c r="I16" s="82">
        <f>I9+H16</f>
        <v>0.92</v>
      </c>
    </row>
    <row r="17" spans="1:9" ht="15" x14ac:dyDescent="0.2">
      <c r="A17" s="80"/>
      <c r="B17" s="83"/>
      <c r="C17" s="83"/>
      <c r="D17" s="10">
        <v>15</v>
      </c>
      <c r="E17" s="11"/>
      <c r="F17" s="11"/>
      <c r="G17" s="11"/>
      <c r="H17" s="83"/>
      <c r="I17" s="83"/>
    </row>
    <row r="18" spans="1:9" ht="15" x14ac:dyDescent="0.2">
      <c r="A18" s="80"/>
      <c r="B18" s="83"/>
      <c r="C18" s="83"/>
      <c r="D18" s="10">
        <v>30</v>
      </c>
      <c r="E18" s="11">
        <v>1.0900000000000001</v>
      </c>
      <c r="F18" s="11">
        <v>1.07</v>
      </c>
      <c r="G18" s="11">
        <v>0.98</v>
      </c>
      <c r="H18" s="83"/>
      <c r="I18" s="83"/>
    </row>
    <row r="19" spans="1:9" ht="15" hidden="1" x14ac:dyDescent="0.2">
      <c r="A19" s="80"/>
      <c r="B19" s="83"/>
      <c r="C19" s="83"/>
      <c r="D19" s="10">
        <v>6.25</v>
      </c>
      <c r="E19" s="11"/>
      <c r="F19" s="11"/>
      <c r="G19" s="11"/>
      <c r="H19" s="83"/>
      <c r="I19" s="83"/>
    </row>
    <row r="20" spans="1:9" ht="15" hidden="1" x14ac:dyDescent="0.2">
      <c r="A20" s="80"/>
      <c r="B20" s="83"/>
      <c r="C20" s="83"/>
      <c r="D20" s="10">
        <v>9</v>
      </c>
      <c r="E20" s="11"/>
      <c r="F20" s="11"/>
      <c r="G20" s="11"/>
      <c r="H20" s="83"/>
      <c r="I20" s="83"/>
    </row>
    <row r="21" spans="1:9" ht="15" hidden="1" x14ac:dyDescent="0.2">
      <c r="A21" s="80"/>
      <c r="B21" s="83"/>
      <c r="C21" s="83"/>
      <c r="D21" s="12">
        <v>12</v>
      </c>
      <c r="E21" s="13"/>
      <c r="F21" s="13"/>
      <c r="G21" s="13"/>
      <c r="H21" s="84"/>
      <c r="I21" s="84"/>
    </row>
    <row r="22" spans="1:9" ht="15" hidden="1" x14ac:dyDescent="0.2">
      <c r="A22" s="81"/>
      <c r="B22" s="84"/>
      <c r="C22" s="84"/>
      <c r="D22" s="10">
        <v>16</v>
      </c>
      <c r="E22" s="11">
        <v>2.35</v>
      </c>
      <c r="F22" s="11">
        <v>1.93</v>
      </c>
      <c r="G22" s="11"/>
      <c r="H22" s="64"/>
      <c r="I22" s="64"/>
    </row>
    <row r="23" spans="1:9" ht="15" x14ac:dyDescent="0.2">
      <c r="A23" s="79">
        <v>75</v>
      </c>
      <c r="B23" s="82">
        <f>A23*154/1000</f>
        <v>11.55</v>
      </c>
      <c r="C23" s="82">
        <f t="shared" ref="C23" si="1">B23/(0.07)</f>
        <v>165</v>
      </c>
      <c r="D23" s="8">
        <v>0</v>
      </c>
      <c r="E23" s="9">
        <f>E18</f>
        <v>1.0900000000000001</v>
      </c>
      <c r="F23" s="9">
        <f>F18</f>
        <v>1.07</v>
      </c>
      <c r="G23" s="9">
        <f>G18</f>
        <v>0.98</v>
      </c>
      <c r="H23" s="82">
        <f>((E25-E23)+(F25-F23)+(G25-G23))/3</f>
        <v>0.41999999999999993</v>
      </c>
      <c r="I23" s="82">
        <f>I16+H23</f>
        <v>1.3399999999999999</v>
      </c>
    </row>
    <row r="24" spans="1:9" ht="15" x14ac:dyDescent="0.2">
      <c r="A24" s="80"/>
      <c r="B24" s="83"/>
      <c r="C24" s="83"/>
      <c r="D24" s="10">
        <v>15</v>
      </c>
      <c r="E24" s="11"/>
      <c r="F24" s="11"/>
      <c r="G24" s="11"/>
      <c r="H24" s="83"/>
      <c r="I24" s="83"/>
    </row>
    <row r="25" spans="1:9" ht="15" x14ac:dyDescent="0.2">
      <c r="A25" s="80"/>
      <c r="B25" s="83"/>
      <c r="C25" s="83"/>
      <c r="D25" s="10">
        <v>30</v>
      </c>
      <c r="E25" s="11">
        <v>1.56</v>
      </c>
      <c r="F25" s="11">
        <v>1.45</v>
      </c>
      <c r="G25" s="11">
        <v>1.39</v>
      </c>
      <c r="H25" s="83"/>
      <c r="I25" s="83"/>
    </row>
    <row r="26" spans="1:9" ht="15" hidden="1" customHeight="1" x14ac:dyDescent="0.2">
      <c r="A26" s="80"/>
      <c r="B26" s="83"/>
      <c r="C26" s="83"/>
      <c r="D26" s="10">
        <v>6.25</v>
      </c>
      <c r="E26" s="11"/>
      <c r="F26" s="11"/>
      <c r="G26" s="11"/>
      <c r="H26" s="83"/>
      <c r="I26" s="83"/>
    </row>
    <row r="27" spans="1:9" ht="15" hidden="1" customHeight="1" x14ac:dyDescent="0.2">
      <c r="A27" s="80"/>
      <c r="B27" s="83"/>
      <c r="C27" s="83"/>
      <c r="D27" s="10">
        <v>9</v>
      </c>
      <c r="E27" s="11"/>
      <c r="F27" s="11"/>
      <c r="G27" s="11"/>
      <c r="H27" s="83"/>
      <c r="I27" s="83"/>
    </row>
    <row r="28" spans="1:9" ht="15" hidden="1" customHeight="1" x14ac:dyDescent="0.2">
      <c r="A28" s="80"/>
      <c r="B28" s="83"/>
      <c r="C28" s="83"/>
      <c r="D28" s="12">
        <v>12</v>
      </c>
      <c r="E28" s="11"/>
      <c r="F28" s="11"/>
      <c r="G28" s="11"/>
      <c r="H28" s="84"/>
      <c r="I28" s="84"/>
    </row>
    <row r="29" spans="1:9" ht="15" hidden="1" x14ac:dyDescent="0.2">
      <c r="A29" s="81"/>
      <c r="B29" s="84"/>
      <c r="C29" s="84"/>
      <c r="D29" s="10">
        <v>16</v>
      </c>
      <c r="E29" s="11">
        <v>3.19</v>
      </c>
      <c r="F29" s="11">
        <v>2.5</v>
      </c>
      <c r="G29" s="11"/>
      <c r="H29" s="64"/>
      <c r="I29" s="64"/>
    </row>
    <row r="30" spans="1:9" ht="15" x14ac:dyDescent="0.2">
      <c r="A30" s="79">
        <v>100</v>
      </c>
      <c r="B30" s="82">
        <f>A30*154/1000</f>
        <v>15.4</v>
      </c>
      <c r="C30" s="82">
        <f t="shared" ref="C30" si="2">B30/(0.07)</f>
        <v>219.99999999999997</v>
      </c>
      <c r="D30" s="8">
        <v>0</v>
      </c>
      <c r="E30" s="9">
        <f>E25</f>
        <v>1.56</v>
      </c>
      <c r="F30" s="9">
        <f>F25</f>
        <v>1.45</v>
      </c>
      <c r="G30" s="9">
        <f>G25</f>
        <v>1.39</v>
      </c>
      <c r="H30" s="82">
        <f>((E32-E30)+(F32-F30)+(G32-G30))/3</f>
        <v>0.48333333333333339</v>
      </c>
      <c r="I30" s="82">
        <f>I23+H30</f>
        <v>1.8233333333333333</v>
      </c>
    </row>
    <row r="31" spans="1:9" ht="15" x14ac:dyDescent="0.2">
      <c r="A31" s="80"/>
      <c r="B31" s="83"/>
      <c r="C31" s="83"/>
      <c r="D31" s="10">
        <v>15</v>
      </c>
      <c r="E31" s="11"/>
      <c r="F31" s="11"/>
      <c r="G31" s="11"/>
      <c r="H31" s="83"/>
      <c r="I31" s="83"/>
    </row>
    <row r="32" spans="1:9" ht="15" x14ac:dyDescent="0.2">
      <c r="A32" s="80"/>
      <c r="B32" s="83"/>
      <c r="C32" s="83"/>
      <c r="D32" s="10">
        <v>30</v>
      </c>
      <c r="E32" s="11">
        <v>1.96</v>
      </c>
      <c r="F32" s="11">
        <v>2.02</v>
      </c>
      <c r="G32" s="11">
        <v>1.87</v>
      </c>
      <c r="H32" s="83"/>
      <c r="I32" s="83"/>
    </row>
    <row r="33" spans="1:10" ht="15" hidden="1" x14ac:dyDescent="0.2">
      <c r="A33" s="80"/>
      <c r="B33" s="83"/>
      <c r="C33" s="83"/>
      <c r="D33" s="10">
        <v>6.25</v>
      </c>
      <c r="E33" s="11"/>
      <c r="F33" s="11"/>
      <c r="G33" s="11"/>
      <c r="H33" s="83"/>
      <c r="I33" s="83"/>
    </row>
    <row r="34" spans="1:10" ht="15" hidden="1" x14ac:dyDescent="0.2">
      <c r="A34" s="80"/>
      <c r="B34" s="83"/>
      <c r="C34" s="83"/>
      <c r="D34" s="10">
        <v>9</v>
      </c>
      <c r="E34" s="11"/>
      <c r="F34" s="11"/>
      <c r="G34" s="11"/>
      <c r="H34" s="83"/>
      <c r="I34" s="83"/>
    </row>
    <row r="35" spans="1:10" ht="15" hidden="1" x14ac:dyDescent="0.2">
      <c r="A35" s="80"/>
      <c r="B35" s="83"/>
      <c r="C35" s="83"/>
      <c r="D35" s="12">
        <v>12</v>
      </c>
      <c r="E35" s="11"/>
      <c r="F35" s="11"/>
      <c r="G35" s="11"/>
      <c r="H35" s="84"/>
      <c r="I35" s="84"/>
    </row>
    <row r="36" spans="1:10" ht="15" hidden="1" x14ac:dyDescent="0.2">
      <c r="A36" s="81"/>
      <c r="B36" s="84"/>
      <c r="C36" s="84"/>
      <c r="D36" s="10">
        <v>16</v>
      </c>
      <c r="E36" s="11">
        <v>4.0999999999999996</v>
      </c>
      <c r="F36" s="11">
        <v>2.9</v>
      </c>
      <c r="G36" s="11"/>
      <c r="H36" s="64"/>
      <c r="I36" s="65"/>
    </row>
    <row r="37" spans="1:10" ht="15" x14ac:dyDescent="0.2">
      <c r="A37" s="79">
        <v>125</v>
      </c>
      <c r="B37" s="82">
        <f>A37*154/1000</f>
        <v>19.25</v>
      </c>
      <c r="C37" s="82">
        <f>B37/(0.07)</f>
        <v>275</v>
      </c>
      <c r="D37" s="8">
        <v>0</v>
      </c>
      <c r="E37" s="9">
        <f>E32</f>
        <v>1.96</v>
      </c>
      <c r="F37" s="9">
        <f>F32</f>
        <v>2.02</v>
      </c>
      <c r="G37" s="9">
        <f>G32</f>
        <v>1.87</v>
      </c>
      <c r="H37" s="82">
        <f>((E39-E37)+(F39-F37)+(G39-G37))/3</f>
        <v>1.4266666666666665</v>
      </c>
      <c r="I37" s="85">
        <f>I30+H37</f>
        <v>3.25</v>
      </c>
    </row>
    <row r="38" spans="1:10" ht="15" x14ac:dyDescent="0.2">
      <c r="A38" s="80"/>
      <c r="B38" s="83"/>
      <c r="C38" s="83"/>
      <c r="D38" s="10">
        <v>15</v>
      </c>
      <c r="E38" s="11"/>
      <c r="F38" s="11"/>
      <c r="G38" s="11"/>
      <c r="H38" s="83"/>
      <c r="I38" s="86"/>
    </row>
    <row r="39" spans="1:10" ht="15" x14ac:dyDescent="0.2">
      <c r="A39" s="80"/>
      <c r="B39" s="83"/>
      <c r="C39" s="83"/>
      <c r="D39" s="10">
        <v>30</v>
      </c>
      <c r="E39" s="11">
        <v>3.44</v>
      </c>
      <c r="F39" s="11">
        <v>3.4</v>
      </c>
      <c r="G39" s="11">
        <v>3.29</v>
      </c>
      <c r="H39" s="83"/>
      <c r="I39" s="86"/>
    </row>
    <row r="40" spans="1:10" ht="15" hidden="1" x14ac:dyDescent="0.2">
      <c r="A40" s="80"/>
      <c r="B40" s="83"/>
      <c r="C40" s="83"/>
      <c r="D40" s="10">
        <v>6.25</v>
      </c>
      <c r="E40" s="11"/>
      <c r="F40" s="11"/>
      <c r="G40" s="11"/>
      <c r="H40" s="83"/>
      <c r="I40" s="86"/>
      <c r="J40" s="1">
        <f>C37/2.5</f>
        <v>110</v>
      </c>
    </row>
    <row r="41" spans="1:10" ht="15" hidden="1" x14ac:dyDescent="0.2">
      <c r="A41" s="80"/>
      <c r="B41" s="83"/>
      <c r="C41" s="83"/>
      <c r="D41" s="10">
        <v>9</v>
      </c>
      <c r="E41" s="11"/>
      <c r="F41" s="11"/>
      <c r="G41" s="11"/>
      <c r="H41" s="83"/>
      <c r="I41" s="86"/>
    </row>
    <row r="42" spans="1:10" ht="15" hidden="1" x14ac:dyDescent="0.2">
      <c r="A42" s="80"/>
      <c r="B42" s="83"/>
      <c r="C42" s="83"/>
      <c r="D42" s="12">
        <v>12</v>
      </c>
      <c r="E42" s="11"/>
      <c r="F42" s="11"/>
      <c r="G42" s="11"/>
      <c r="H42" s="83"/>
      <c r="I42" s="86"/>
    </row>
    <row r="43" spans="1:10" ht="15" hidden="1" x14ac:dyDescent="0.2">
      <c r="A43" s="81"/>
      <c r="B43" s="84"/>
      <c r="C43" s="84"/>
      <c r="D43" s="12">
        <v>16</v>
      </c>
      <c r="E43" s="11">
        <v>4.66</v>
      </c>
      <c r="F43" s="11">
        <v>3.66</v>
      </c>
      <c r="G43" s="11"/>
      <c r="H43" s="64"/>
      <c r="I43" s="65"/>
    </row>
    <row r="44" spans="1:10" ht="15" x14ac:dyDescent="0.2">
      <c r="A44" s="14">
        <v>100</v>
      </c>
      <c r="B44" s="15">
        <f>A44*154/1000</f>
        <v>15.4</v>
      </c>
      <c r="C44" s="15">
        <f>B44/(0.07)</f>
        <v>219.99999999999997</v>
      </c>
      <c r="D44" s="14">
        <v>0</v>
      </c>
      <c r="E44" s="16">
        <v>3.29</v>
      </c>
      <c r="F44" s="16">
        <v>3.11</v>
      </c>
      <c r="G44" s="16">
        <v>3.19</v>
      </c>
      <c r="H44" s="66">
        <f>((E44-E39)+(F44-F39)+(G44-G39))/3</f>
        <v>-0.18000000000000002</v>
      </c>
      <c r="I44" s="67">
        <f>I37+H44</f>
        <v>3.07</v>
      </c>
    </row>
    <row r="45" spans="1:10" ht="15" x14ac:dyDescent="0.2">
      <c r="A45" s="14">
        <v>75</v>
      </c>
      <c r="B45" s="15">
        <f t="shared" ref="B45:B48" si="3">A45*154/1000</f>
        <v>11.55</v>
      </c>
      <c r="C45" s="15">
        <f t="shared" ref="C45:C47" si="4">B45/(0.07)</f>
        <v>165</v>
      </c>
      <c r="D45" s="14">
        <v>0</v>
      </c>
      <c r="E45" s="16">
        <v>3.12</v>
      </c>
      <c r="F45" s="16">
        <v>3.01</v>
      </c>
      <c r="G45" s="16">
        <v>3.08</v>
      </c>
      <c r="H45" s="66">
        <f>((E45-E44)+(F45-F44)+(G45-G44))/3</f>
        <v>-0.12666666666666662</v>
      </c>
      <c r="I45" s="67">
        <f>I44+H45</f>
        <v>2.9433333333333334</v>
      </c>
    </row>
    <row r="46" spans="1:10" ht="15" x14ac:dyDescent="0.2">
      <c r="A46" s="14">
        <v>50</v>
      </c>
      <c r="B46" s="15">
        <f t="shared" si="3"/>
        <v>7.7</v>
      </c>
      <c r="C46" s="15">
        <f t="shared" si="4"/>
        <v>109.99999999999999</v>
      </c>
      <c r="D46" s="14">
        <v>0</v>
      </c>
      <c r="E46" s="16">
        <v>2.99</v>
      </c>
      <c r="F46" s="16">
        <v>2.95</v>
      </c>
      <c r="G46" s="16">
        <v>2.98</v>
      </c>
      <c r="H46" s="66">
        <f>((E46-E45)+(F46-F45)+(G46-G45))/3</f>
        <v>-9.6666666666666526E-2</v>
      </c>
      <c r="I46" s="67">
        <f>I45+H46</f>
        <v>2.8466666666666667</v>
      </c>
    </row>
    <row r="47" spans="1:10" ht="15" x14ac:dyDescent="0.2">
      <c r="A47" s="14">
        <v>25</v>
      </c>
      <c r="B47" s="15">
        <f>A47*154/1000</f>
        <v>3.85</v>
      </c>
      <c r="C47" s="15">
        <f t="shared" si="4"/>
        <v>54.999999999999993</v>
      </c>
      <c r="D47" s="12">
        <v>0</v>
      </c>
      <c r="E47" s="13">
        <v>2.54</v>
      </c>
      <c r="F47" s="13">
        <v>2.69</v>
      </c>
      <c r="G47" s="13">
        <v>2.71</v>
      </c>
      <c r="H47" s="66">
        <f>((E47-E46)+(F47-F46)+(G47-G46))/3</f>
        <v>-0.32666666666666683</v>
      </c>
      <c r="I47" s="67">
        <f>I46+H47</f>
        <v>2.52</v>
      </c>
    </row>
    <row r="48" spans="1:10" ht="15" x14ac:dyDescent="0.2">
      <c r="A48" s="17">
        <v>0</v>
      </c>
      <c r="B48" s="15">
        <f t="shared" si="3"/>
        <v>0</v>
      </c>
      <c r="C48" s="17"/>
      <c r="D48" s="14">
        <v>0</v>
      </c>
      <c r="E48" s="13">
        <v>2.4</v>
      </c>
      <c r="F48" s="13">
        <v>2.58</v>
      </c>
      <c r="G48" s="13">
        <v>2.67</v>
      </c>
      <c r="H48" s="66">
        <f>((E48-E47)+(F48-F47)+(G48-G47))/3</f>
        <v>-9.6666666666666679E-2</v>
      </c>
      <c r="I48" s="67">
        <f>I47+H48</f>
        <v>2.4233333333333333</v>
      </c>
    </row>
    <row r="49" spans="1:22" ht="15.75" thickBot="1" x14ac:dyDescent="0.25">
      <c r="A49" s="17"/>
      <c r="B49" s="17"/>
      <c r="C49" s="17"/>
      <c r="D49" s="17"/>
      <c r="E49" s="17"/>
      <c r="F49" s="17"/>
      <c r="G49" s="17"/>
      <c r="H49" s="17"/>
      <c r="I49" s="17"/>
    </row>
    <row r="50" spans="1:22" ht="16.5" thickBot="1" x14ac:dyDescent="0.25">
      <c r="A50" s="17"/>
      <c r="B50" s="17"/>
      <c r="C50" s="17"/>
      <c r="D50" s="17"/>
      <c r="E50" s="17"/>
      <c r="F50" s="17"/>
      <c r="G50" s="17"/>
      <c r="H50" s="17"/>
      <c r="I50" s="17"/>
      <c r="K50" s="76" t="s">
        <v>19</v>
      </c>
      <c r="L50" s="77"/>
      <c r="M50" s="77"/>
      <c r="N50" s="77"/>
      <c r="O50" s="77"/>
      <c r="P50" s="77"/>
      <c r="Q50" s="77"/>
      <c r="R50" s="77"/>
      <c r="S50" s="77"/>
      <c r="T50" s="77"/>
      <c r="U50" s="78"/>
    </row>
    <row r="51" spans="1:22" ht="12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K51" s="69" t="str">
        <f>C2</f>
        <v>377 MLD</v>
      </c>
      <c r="L51" s="70"/>
      <c r="M51" s="70"/>
      <c r="N51" s="70"/>
      <c r="O51" s="70"/>
      <c r="P51" s="70"/>
      <c r="Q51" s="70"/>
      <c r="R51" s="70"/>
      <c r="S51" s="70"/>
      <c r="T51" s="70"/>
      <c r="U51" s="71"/>
    </row>
    <row r="52" spans="1:22" ht="15" x14ac:dyDescent="0.2">
      <c r="A52" s="17"/>
      <c r="B52" s="17"/>
      <c r="C52" s="17"/>
      <c r="D52" s="17"/>
      <c r="E52" s="17"/>
      <c r="F52" s="17"/>
      <c r="G52" s="17"/>
      <c r="H52" s="17"/>
      <c r="I52" s="17"/>
      <c r="K52" s="18" t="s">
        <v>20</v>
      </c>
      <c r="L52" s="19">
        <f>C4</f>
        <v>2</v>
      </c>
      <c r="M52" s="20" t="s">
        <v>21</v>
      </c>
      <c r="N52" s="1" t="str">
        <f>C3</f>
        <v>GVPR</v>
      </c>
      <c r="O52" s="21"/>
      <c r="P52" s="19"/>
      <c r="Q52" s="19"/>
      <c r="R52" s="20"/>
      <c r="T52" s="19"/>
      <c r="U52" s="22"/>
    </row>
    <row r="53" spans="1:22" ht="15" x14ac:dyDescent="0.2">
      <c r="A53" s="17"/>
      <c r="B53" s="17"/>
      <c r="C53" s="17"/>
      <c r="D53" s="17"/>
      <c r="E53" s="17"/>
      <c r="F53" s="17"/>
      <c r="G53" s="17"/>
      <c r="H53" s="17"/>
      <c r="I53" s="17"/>
      <c r="K53" s="23" t="s">
        <v>22</v>
      </c>
      <c r="L53" s="20">
        <f>H3</f>
        <v>0</v>
      </c>
      <c r="P53" s="24"/>
      <c r="Q53" s="25"/>
      <c r="S53" s="25"/>
      <c r="T53" s="26"/>
      <c r="U53" s="27"/>
    </row>
    <row r="54" spans="1:22" ht="15" x14ac:dyDescent="0.2">
      <c r="A54" s="17"/>
      <c r="B54" s="17"/>
      <c r="C54" s="17"/>
      <c r="D54" s="17"/>
      <c r="E54" s="17"/>
      <c r="F54" s="17"/>
      <c r="G54" s="17"/>
      <c r="H54" s="17"/>
      <c r="I54" s="17"/>
      <c r="K54" s="23" t="s">
        <v>23</v>
      </c>
      <c r="L54" s="28" t="s">
        <v>33</v>
      </c>
      <c r="N54" s="29"/>
      <c r="O54" s="1" t="s">
        <v>24</v>
      </c>
      <c r="P54" s="72">
        <f>H4</f>
        <v>0</v>
      </c>
      <c r="Q54" s="72"/>
      <c r="R54" s="72">
        <f>H5</f>
        <v>0</v>
      </c>
      <c r="S54" s="72"/>
      <c r="T54" s="30"/>
      <c r="U54" s="27"/>
    </row>
    <row r="55" spans="1:22" ht="12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K55" s="23" t="s">
        <v>25</v>
      </c>
      <c r="L55" s="1">
        <f>C5</f>
        <v>0</v>
      </c>
      <c r="N55" s="29"/>
      <c r="P55" s="26"/>
      <c r="Q55" s="25"/>
      <c r="R55" s="31"/>
      <c r="S55" s="25"/>
      <c r="T55" s="29"/>
      <c r="U55" s="27"/>
    </row>
    <row r="56" spans="1:22" ht="12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K56" s="23" t="s">
        <v>26</v>
      </c>
      <c r="L56" s="32">
        <f>H2</f>
        <v>45259</v>
      </c>
      <c r="P56" s="26"/>
      <c r="Q56" s="33"/>
      <c r="R56" s="31"/>
      <c r="S56" s="25"/>
      <c r="T56" s="29"/>
      <c r="U56" s="27"/>
    </row>
    <row r="57" spans="1:22" ht="16.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K57" s="23"/>
      <c r="N57" s="74" t="s">
        <v>27</v>
      </c>
      <c r="O57" s="74"/>
      <c r="P57" s="74"/>
      <c r="Q57" s="74"/>
      <c r="R57" s="74"/>
      <c r="S57" s="74"/>
      <c r="T57" s="74"/>
      <c r="U57" s="27"/>
    </row>
    <row r="58" spans="1:22" ht="15.75" x14ac:dyDescent="0.25">
      <c r="A58" s="17"/>
      <c r="B58" s="17"/>
      <c r="C58" s="17"/>
      <c r="D58" s="17"/>
      <c r="E58" s="17"/>
      <c r="F58" s="17"/>
      <c r="G58" s="17"/>
      <c r="H58" s="17"/>
      <c r="I58" s="17"/>
      <c r="K58" s="23"/>
      <c r="P58" s="34"/>
      <c r="Q58" s="31"/>
      <c r="R58" s="31"/>
      <c r="S58" s="31"/>
      <c r="U58" s="27"/>
      <c r="V58" s="29"/>
    </row>
    <row r="59" spans="1:22" ht="38.25" x14ac:dyDescent="0.2">
      <c r="A59" s="17"/>
      <c r="B59" s="17"/>
      <c r="C59" s="17"/>
      <c r="D59" s="17"/>
      <c r="E59" s="17"/>
      <c r="F59" s="17"/>
      <c r="G59" s="17"/>
      <c r="H59" s="17"/>
      <c r="I59" s="17"/>
      <c r="K59" s="35" t="s">
        <v>28</v>
      </c>
      <c r="L59" s="36" t="s">
        <v>29</v>
      </c>
      <c r="M59" s="37"/>
      <c r="N59" s="38"/>
      <c r="O59" s="38"/>
      <c r="P59" s="38"/>
      <c r="Q59" s="29"/>
      <c r="R59" s="29"/>
      <c r="S59" s="29"/>
      <c r="T59" s="29"/>
      <c r="U59" s="39"/>
      <c r="V59" s="37"/>
    </row>
    <row r="60" spans="1:22" ht="15" x14ac:dyDescent="0.2">
      <c r="A60" s="17"/>
      <c r="B60" s="17"/>
      <c r="C60" s="17"/>
      <c r="D60" s="17"/>
      <c r="E60" s="17"/>
      <c r="F60" s="17"/>
      <c r="G60" s="17"/>
      <c r="H60" s="17"/>
      <c r="I60" s="17"/>
      <c r="K60" s="40"/>
      <c r="L60" s="41"/>
      <c r="M60" s="25"/>
      <c r="N60" s="25"/>
      <c r="O60" s="25"/>
      <c r="Q60" s="29"/>
      <c r="R60" s="29"/>
      <c r="S60" s="29"/>
      <c r="T60" s="29"/>
      <c r="U60" s="27"/>
      <c r="V60" s="29"/>
    </row>
    <row r="61" spans="1:22" ht="15" x14ac:dyDescent="0.2">
      <c r="A61" s="17"/>
      <c r="B61" s="17"/>
      <c r="C61" s="17"/>
      <c r="D61" s="17"/>
      <c r="E61" s="17"/>
      <c r="F61" s="17"/>
      <c r="G61" s="17"/>
      <c r="H61" s="17"/>
      <c r="I61" s="17"/>
      <c r="K61" s="42">
        <f>B9</f>
        <v>3.85</v>
      </c>
      <c r="L61" s="43">
        <f>I9</f>
        <v>0.35666666666666669</v>
      </c>
      <c r="M61" s="25"/>
      <c r="N61" s="25"/>
      <c r="O61" s="25"/>
      <c r="Q61" s="29"/>
      <c r="R61" s="29"/>
      <c r="S61" s="29"/>
      <c r="T61" s="29"/>
      <c r="U61" s="27"/>
      <c r="V61" s="29"/>
    </row>
    <row r="62" spans="1:22" ht="15" x14ac:dyDescent="0.2">
      <c r="A62" s="17"/>
      <c r="B62" s="17"/>
      <c r="C62" s="17"/>
      <c r="D62" s="17"/>
      <c r="E62" s="17"/>
      <c r="F62" s="17"/>
      <c r="G62" s="17"/>
      <c r="H62" s="17"/>
      <c r="I62" s="17"/>
      <c r="K62" s="42">
        <f>B16</f>
        <v>7.7</v>
      </c>
      <c r="L62" s="43">
        <f>I16</f>
        <v>0.92</v>
      </c>
      <c r="M62" s="25"/>
      <c r="N62" s="25"/>
      <c r="O62" s="25"/>
      <c r="Q62" s="29"/>
      <c r="R62" s="29"/>
      <c r="S62" s="29"/>
      <c r="T62" s="29"/>
      <c r="U62" s="27"/>
      <c r="V62" s="29"/>
    </row>
    <row r="63" spans="1:22" ht="15" x14ac:dyDescent="0.2">
      <c r="A63" s="17"/>
      <c r="B63" s="17"/>
      <c r="C63" s="17"/>
      <c r="D63" s="17"/>
      <c r="E63" s="17"/>
      <c r="F63" s="17"/>
      <c r="G63" s="17"/>
      <c r="H63" s="17"/>
      <c r="I63" s="17"/>
      <c r="K63" s="42">
        <f>B23</f>
        <v>11.55</v>
      </c>
      <c r="L63" s="43">
        <f>I23</f>
        <v>1.3399999999999999</v>
      </c>
      <c r="M63" s="25"/>
      <c r="N63" s="25"/>
      <c r="O63" s="25"/>
      <c r="Q63" s="29"/>
      <c r="R63" s="29"/>
      <c r="S63" s="29"/>
      <c r="T63" s="29"/>
      <c r="U63" s="27"/>
      <c r="V63" s="29"/>
    </row>
    <row r="64" spans="1:22" ht="15" x14ac:dyDescent="0.2">
      <c r="A64" s="17"/>
      <c r="B64" s="17"/>
      <c r="C64" s="17"/>
      <c r="D64" s="17"/>
      <c r="E64" s="17"/>
      <c r="F64" s="17"/>
      <c r="G64" s="17"/>
      <c r="H64" s="17"/>
      <c r="I64" s="17"/>
      <c r="K64" s="42">
        <f>B30</f>
        <v>15.4</v>
      </c>
      <c r="L64" s="43">
        <f>I30</f>
        <v>1.8233333333333333</v>
      </c>
      <c r="M64" s="25"/>
      <c r="N64" s="25"/>
      <c r="O64" s="25"/>
      <c r="Q64" s="29"/>
      <c r="R64" s="29"/>
      <c r="S64" s="29"/>
      <c r="T64" s="29"/>
      <c r="U64" s="27"/>
      <c r="V64" s="29"/>
    </row>
    <row r="65" spans="1:22" ht="15" x14ac:dyDescent="0.2">
      <c r="A65" s="17"/>
      <c r="B65" s="17"/>
      <c r="C65" s="17"/>
      <c r="D65" s="17"/>
      <c r="E65" s="17"/>
      <c r="F65" s="17"/>
      <c r="G65" s="17"/>
      <c r="H65" s="17"/>
      <c r="I65" s="17"/>
      <c r="K65" s="42">
        <f>B37</f>
        <v>19.25</v>
      </c>
      <c r="L65" s="43">
        <f>I37</f>
        <v>3.25</v>
      </c>
      <c r="M65" s="25"/>
      <c r="N65" s="25"/>
      <c r="O65" s="25"/>
      <c r="Q65" s="29"/>
      <c r="R65" s="29"/>
      <c r="S65" s="29"/>
      <c r="T65" s="29"/>
      <c r="U65" s="27"/>
      <c r="V65" s="29"/>
    </row>
    <row r="66" spans="1:22" ht="15" x14ac:dyDescent="0.2">
      <c r="A66" s="17"/>
      <c r="B66" s="17"/>
      <c r="C66" s="17"/>
      <c r="D66" s="17"/>
      <c r="E66" s="17"/>
      <c r="F66" s="17"/>
      <c r="G66" s="17"/>
      <c r="H66" s="17"/>
      <c r="I66" s="17"/>
      <c r="K66" s="42">
        <f>K64</f>
        <v>15.4</v>
      </c>
      <c r="L66" s="44">
        <v>3.4833333333333334</v>
      </c>
      <c r="M66" s="25"/>
      <c r="N66" s="25"/>
      <c r="O66" s="25"/>
      <c r="Q66" s="29"/>
      <c r="R66" s="29"/>
      <c r="S66" s="29"/>
      <c r="T66" s="29"/>
      <c r="U66" s="27"/>
      <c r="V66" s="29"/>
    </row>
    <row r="67" spans="1:22" ht="15" x14ac:dyDescent="0.2">
      <c r="A67" s="17"/>
      <c r="B67" s="17"/>
      <c r="C67" s="17"/>
      <c r="D67" s="17"/>
      <c r="E67" s="17"/>
      <c r="F67" s="17"/>
      <c r="G67" s="17"/>
      <c r="H67" s="17"/>
      <c r="I67" s="17"/>
      <c r="K67" s="68">
        <f>K63</f>
        <v>11.55</v>
      </c>
      <c r="L67" s="44">
        <v>3.2366666666666668</v>
      </c>
      <c r="M67" s="25"/>
      <c r="N67" s="25"/>
      <c r="O67" s="25"/>
      <c r="Q67" s="29"/>
      <c r="R67" s="29"/>
      <c r="S67" s="29"/>
      <c r="T67" s="29"/>
      <c r="U67" s="27"/>
      <c r="V67" s="29"/>
    </row>
    <row r="68" spans="1:22" x14ac:dyDescent="0.2">
      <c r="K68" s="68">
        <f>K62</f>
        <v>7.7</v>
      </c>
      <c r="L68" s="44">
        <v>2.96</v>
      </c>
      <c r="M68" s="25"/>
      <c r="N68" s="25"/>
      <c r="O68" s="25"/>
      <c r="Q68" s="29"/>
      <c r="R68" s="29"/>
      <c r="S68" s="29"/>
      <c r="T68" s="29"/>
      <c r="U68" s="27"/>
      <c r="V68" s="29"/>
    </row>
    <row r="69" spans="1:22" x14ac:dyDescent="0.2">
      <c r="K69" s="68">
        <f>K61</f>
        <v>3.85</v>
      </c>
      <c r="L69" s="44">
        <v>2.0833333333333335</v>
      </c>
      <c r="M69" s="25"/>
      <c r="N69" s="25"/>
      <c r="O69" s="25"/>
      <c r="Q69" s="29"/>
      <c r="R69" s="29"/>
      <c r="S69" s="29"/>
      <c r="T69" s="29"/>
      <c r="U69" s="27"/>
      <c r="V69" s="29"/>
    </row>
    <row r="70" spans="1:22" x14ac:dyDescent="0.2">
      <c r="K70" s="45">
        <v>0</v>
      </c>
      <c r="L70" s="44">
        <v>1.5500000000000003</v>
      </c>
      <c r="M70" s="25"/>
      <c r="N70" s="25"/>
      <c r="O70" s="25"/>
      <c r="Q70" s="29"/>
      <c r="R70" s="29"/>
      <c r="S70" s="29"/>
      <c r="T70" s="29"/>
      <c r="U70" s="27"/>
      <c r="V70" s="29"/>
    </row>
    <row r="71" spans="1:22" x14ac:dyDescent="0.2">
      <c r="K71" s="46"/>
      <c r="L71" s="44"/>
      <c r="M71" s="25"/>
      <c r="N71" s="25"/>
      <c r="O71" s="25"/>
      <c r="Q71" s="29"/>
      <c r="R71" s="29"/>
      <c r="S71" s="29"/>
      <c r="T71" s="29"/>
      <c r="U71" s="27"/>
      <c r="V71" s="29"/>
    </row>
    <row r="72" spans="1:22" x14ac:dyDescent="0.2">
      <c r="K72" s="45"/>
      <c r="L72" s="44"/>
      <c r="M72" s="25"/>
      <c r="N72" s="25"/>
      <c r="O72" s="25"/>
      <c r="Q72" s="29"/>
      <c r="R72" s="29"/>
      <c r="S72" s="29"/>
      <c r="T72" s="29"/>
      <c r="U72" s="27"/>
      <c r="V72" s="29"/>
    </row>
    <row r="73" spans="1:22" x14ac:dyDescent="0.2">
      <c r="K73" s="45"/>
      <c r="L73" s="44"/>
      <c r="M73" s="25"/>
      <c r="N73" s="25"/>
      <c r="O73" s="25"/>
      <c r="Q73" s="29"/>
      <c r="R73" s="29"/>
      <c r="S73" s="29"/>
      <c r="T73" s="29"/>
      <c r="U73" s="27"/>
      <c r="V73" s="29"/>
    </row>
    <row r="74" spans="1:22" ht="13.5" thickBot="1" x14ac:dyDescent="0.25">
      <c r="K74" s="47"/>
      <c r="L74" s="48"/>
      <c r="M74" s="49"/>
      <c r="N74" s="49"/>
      <c r="O74" s="49"/>
      <c r="P74" s="50"/>
      <c r="Q74" s="50"/>
      <c r="R74" s="50"/>
      <c r="S74" s="50"/>
      <c r="T74" s="50"/>
      <c r="U74" s="51"/>
      <c r="V74" s="29"/>
    </row>
    <row r="76" spans="1:22" ht="13.5" thickBot="1" x14ac:dyDescent="0.25"/>
    <row r="77" spans="1:22" ht="16.5" thickBot="1" x14ac:dyDescent="0.25">
      <c r="K77" s="76" t="s">
        <v>19</v>
      </c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52"/>
    </row>
    <row r="78" spans="1:22" ht="12.75" customHeight="1" x14ac:dyDescent="0.2">
      <c r="K78" s="69" t="str">
        <f>C2</f>
        <v>377 MLD</v>
      </c>
      <c r="L78" s="70"/>
      <c r="M78" s="70"/>
      <c r="N78" s="70"/>
      <c r="O78" s="70"/>
      <c r="P78" s="70"/>
      <c r="Q78" s="70"/>
      <c r="R78" s="70"/>
      <c r="S78" s="70"/>
      <c r="T78" s="70"/>
      <c r="U78" s="71"/>
      <c r="V78" s="53"/>
    </row>
    <row r="79" spans="1:22" x14ac:dyDescent="0.2">
      <c r="K79" s="18" t="s">
        <v>20</v>
      </c>
      <c r="L79" s="19">
        <f>C4</f>
        <v>2</v>
      </c>
      <c r="M79" s="20" t="str">
        <f>M52</f>
        <v>Client</v>
      </c>
      <c r="N79" s="1" t="str">
        <f>N52</f>
        <v>GVPR</v>
      </c>
      <c r="O79" s="21"/>
      <c r="P79" s="19"/>
      <c r="Q79" s="19"/>
      <c r="R79" s="20"/>
      <c r="T79" s="19"/>
      <c r="U79" s="22"/>
      <c r="V79" s="19"/>
    </row>
    <row r="80" spans="1:22" x14ac:dyDescent="0.2">
      <c r="K80" s="23" t="s">
        <v>22</v>
      </c>
      <c r="L80" s="20">
        <f>H3</f>
        <v>0</v>
      </c>
      <c r="P80" s="24"/>
      <c r="Q80" s="25"/>
      <c r="S80" s="25"/>
      <c r="T80" s="26"/>
      <c r="U80" s="27"/>
      <c r="V80" s="29"/>
    </row>
    <row r="81" spans="11:22" x14ac:dyDescent="0.2">
      <c r="K81" s="23" t="s">
        <v>23</v>
      </c>
      <c r="L81" s="28"/>
      <c r="N81" s="29"/>
      <c r="O81" s="1" t="s">
        <v>24</v>
      </c>
      <c r="P81" s="72">
        <f>H4</f>
        <v>0</v>
      </c>
      <c r="Q81" s="72"/>
      <c r="R81" s="73">
        <f>H5</f>
        <v>0</v>
      </c>
      <c r="S81" s="73"/>
      <c r="U81" s="27"/>
      <c r="V81" s="29"/>
    </row>
    <row r="82" spans="11:22" x14ac:dyDescent="0.2">
      <c r="K82" s="23" t="s">
        <v>25</v>
      </c>
      <c r="L82" s="1">
        <f>C5</f>
        <v>0</v>
      </c>
      <c r="N82" s="29"/>
      <c r="P82" s="26"/>
      <c r="Q82" s="25"/>
      <c r="R82" s="31"/>
      <c r="S82" s="25"/>
      <c r="T82" s="29"/>
      <c r="U82" s="27"/>
      <c r="V82" s="29"/>
    </row>
    <row r="83" spans="11:22" x14ac:dyDescent="0.2">
      <c r="K83" s="23" t="s">
        <v>26</v>
      </c>
      <c r="L83" s="32">
        <f>H2</f>
        <v>45259</v>
      </c>
      <c r="P83" s="26"/>
      <c r="Q83" s="33"/>
      <c r="R83" s="31"/>
      <c r="S83" s="25"/>
      <c r="T83" s="29"/>
      <c r="U83" s="27"/>
      <c r="V83" s="29"/>
    </row>
    <row r="84" spans="11:22" ht="16.5" customHeight="1" x14ac:dyDescent="0.25">
      <c r="K84" s="23"/>
      <c r="N84" s="74" t="s">
        <v>30</v>
      </c>
      <c r="O84" s="74"/>
      <c r="P84" s="74"/>
      <c r="Q84" s="74"/>
      <c r="R84" s="74"/>
      <c r="S84" s="74"/>
      <c r="T84" s="74"/>
      <c r="U84" s="27"/>
      <c r="V84" s="29"/>
    </row>
    <row r="85" spans="11:22" x14ac:dyDescent="0.2">
      <c r="K85" s="23"/>
      <c r="Q85" s="26"/>
      <c r="R85" s="31"/>
      <c r="S85" s="31"/>
      <c r="U85" s="27"/>
      <c r="V85" s="29"/>
    </row>
    <row r="86" spans="11:22" ht="27" x14ac:dyDescent="0.2">
      <c r="K86" s="54" t="s">
        <v>31</v>
      </c>
      <c r="L86" s="55" t="s">
        <v>32</v>
      </c>
      <c r="N86" s="38"/>
      <c r="O86" s="38"/>
      <c r="P86" s="38"/>
      <c r="Q86" s="29"/>
      <c r="R86" s="29"/>
      <c r="S86" s="29"/>
      <c r="T86" s="29"/>
      <c r="U86" s="39"/>
      <c r="V86" s="37"/>
    </row>
    <row r="87" spans="11:22" x14ac:dyDescent="0.2">
      <c r="K87" s="56">
        <v>0</v>
      </c>
      <c r="L87" s="44">
        <v>0</v>
      </c>
      <c r="M87" s="53"/>
      <c r="N87" s="53"/>
      <c r="O87" s="25"/>
      <c r="Q87" s="29"/>
      <c r="R87" s="29"/>
      <c r="S87" s="29"/>
      <c r="T87" s="29"/>
      <c r="U87" s="27"/>
      <c r="V87" s="29"/>
    </row>
    <row r="88" spans="11:22" x14ac:dyDescent="0.2">
      <c r="K88" s="42">
        <v>3.85</v>
      </c>
      <c r="L88" s="43">
        <v>0.14666666666666667</v>
      </c>
      <c r="M88" s="57"/>
      <c r="N88" s="57"/>
      <c r="O88" s="25"/>
      <c r="Q88" s="29"/>
      <c r="R88" s="29"/>
      <c r="S88" s="29"/>
      <c r="T88" s="29"/>
      <c r="U88" s="27"/>
      <c r="V88" s="29"/>
    </row>
    <row r="89" spans="11:22" x14ac:dyDescent="0.2">
      <c r="K89" s="42">
        <v>7.7</v>
      </c>
      <c r="L89" s="43">
        <v>0.41333333333333333</v>
      </c>
      <c r="M89" s="57"/>
      <c r="N89" s="57"/>
      <c r="O89" s="25"/>
      <c r="Q89" s="29"/>
      <c r="R89" s="29"/>
      <c r="S89" s="29"/>
      <c r="T89" s="29"/>
      <c r="U89" s="27"/>
      <c r="V89" s="29"/>
    </row>
    <row r="90" spans="11:22" x14ac:dyDescent="0.2">
      <c r="K90" s="42">
        <v>11.55</v>
      </c>
      <c r="L90" s="43">
        <v>0.78333333333333321</v>
      </c>
      <c r="M90" s="57"/>
      <c r="N90" s="57"/>
      <c r="O90" s="25"/>
      <c r="Q90" s="29"/>
      <c r="R90" s="29"/>
      <c r="S90" s="29"/>
      <c r="T90" s="29"/>
      <c r="U90" s="27"/>
      <c r="V90" s="29"/>
    </row>
    <row r="91" spans="11:22" x14ac:dyDescent="0.2">
      <c r="K91" s="42">
        <v>15.4</v>
      </c>
      <c r="L91" s="43">
        <v>1.2866666666666666</v>
      </c>
      <c r="M91" s="57"/>
      <c r="N91" s="57"/>
      <c r="O91" s="25"/>
      <c r="Q91" s="29"/>
      <c r="R91" s="29"/>
      <c r="S91" s="29"/>
      <c r="T91" s="29"/>
      <c r="U91" s="27"/>
      <c r="V91" s="29"/>
    </row>
    <row r="92" spans="11:22" x14ac:dyDescent="0.2">
      <c r="K92" s="42">
        <v>19.25</v>
      </c>
      <c r="L92" s="43">
        <v>3.2066666666666666</v>
      </c>
      <c r="M92" s="57"/>
      <c r="N92" s="57"/>
      <c r="O92" s="25"/>
      <c r="Q92" s="29"/>
      <c r="R92" s="29"/>
      <c r="S92" s="29"/>
      <c r="T92" s="29"/>
      <c r="U92" s="27"/>
      <c r="V92" s="29"/>
    </row>
    <row r="93" spans="11:22" x14ac:dyDescent="0.2">
      <c r="K93" s="42">
        <v>15.4</v>
      </c>
      <c r="L93" s="43">
        <v>3.07</v>
      </c>
      <c r="M93" s="57"/>
      <c r="N93" s="57"/>
      <c r="O93" s="25"/>
      <c r="Q93" s="29"/>
      <c r="R93" s="29"/>
      <c r="S93" s="29"/>
      <c r="T93" s="29"/>
      <c r="U93" s="27"/>
      <c r="V93" s="29"/>
    </row>
    <row r="94" spans="11:22" x14ac:dyDescent="0.2">
      <c r="K94" s="45">
        <v>11.55</v>
      </c>
      <c r="L94" s="43">
        <v>2.9433333333333334</v>
      </c>
      <c r="M94" s="57"/>
      <c r="N94" s="57"/>
      <c r="O94" s="25"/>
      <c r="Q94" s="29"/>
      <c r="R94" s="29"/>
      <c r="S94" s="29"/>
      <c r="T94" s="29"/>
      <c r="U94" s="27"/>
      <c r="V94" s="29"/>
    </row>
    <row r="95" spans="11:22" x14ac:dyDescent="0.2">
      <c r="K95" s="45">
        <v>7.7</v>
      </c>
      <c r="L95" s="43">
        <v>2.8466666666666667</v>
      </c>
      <c r="M95" s="57"/>
      <c r="N95" s="57"/>
      <c r="O95" s="25"/>
      <c r="Q95" s="29"/>
      <c r="R95" s="29"/>
      <c r="S95" s="29"/>
      <c r="T95" s="29"/>
      <c r="U95" s="27"/>
      <c r="V95" s="29"/>
    </row>
    <row r="96" spans="11:22" x14ac:dyDescent="0.2">
      <c r="K96" s="45">
        <v>3.85</v>
      </c>
      <c r="L96" s="43">
        <v>2.52</v>
      </c>
      <c r="M96" s="57"/>
      <c r="N96" s="25"/>
      <c r="O96" s="25"/>
      <c r="Q96" s="29"/>
      <c r="R96" s="29"/>
      <c r="S96" s="29"/>
      <c r="T96" s="29"/>
      <c r="U96" s="27"/>
      <c r="V96" s="29"/>
    </row>
    <row r="97" spans="8:22" x14ac:dyDescent="0.2">
      <c r="K97" s="45">
        <v>0</v>
      </c>
      <c r="L97" s="43">
        <v>2.4233333333333333</v>
      </c>
      <c r="M97" s="57"/>
      <c r="N97" s="25"/>
      <c r="O97" s="25"/>
      <c r="Q97" s="29"/>
      <c r="R97" s="29"/>
      <c r="S97" s="29"/>
      <c r="T97" s="29"/>
      <c r="U97" s="27"/>
      <c r="V97" s="29"/>
    </row>
    <row r="98" spans="8:22" x14ac:dyDescent="0.2">
      <c r="K98" s="46"/>
      <c r="L98" s="44"/>
      <c r="M98" s="57"/>
      <c r="N98" s="25"/>
      <c r="O98" s="25"/>
      <c r="Q98" s="29"/>
      <c r="R98" s="29"/>
      <c r="S98" s="29"/>
      <c r="T98" s="29"/>
      <c r="U98" s="27"/>
      <c r="V98" s="29"/>
    </row>
    <row r="99" spans="8:22" x14ac:dyDescent="0.2">
      <c r="K99" s="58"/>
      <c r="L99" s="44"/>
      <c r="M99" s="25"/>
      <c r="N99" s="25"/>
      <c r="O99" s="25"/>
      <c r="Q99" s="29"/>
      <c r="R99" s="29"/>
      <c r="S99" s="29"/>
      <c r="T99" s="29"/>
      <c r="U99" s="27"/>
      <c r="V99" s="29"/>
    </row>
    <row r="100" spans="8:22" x14ac:dyDescent="0.2">
      <c r="K100" s="59"/>
      <c r="L100" s="60"/>
      <c r="M100" s="25"/>
      <c r="N100" s="25"/>
      <c r="O100" s="25"/>
      <c r="Q100" s="29"/>
      <c r="R100" s="29"/>
      <c r="S100" s="29"/>
      <c r="T100" s="29"/>
      <c r="U100" s="27"/>
      <c r="V100" s="29"/>
    </row>
    <row r="101" spans="8:22" ht="13.5" thickBot="1" x14ac:dyDescent="0.25">
      <c r="K101" s="61"/>
      <c r="L101" s="62"/>
      <c r="M101" s="49"/>
      <c r="N101" s="49"/>
      <c r="O101" s="49"/>
      <c r="P101" s="50"/>
      <c r="Q101" s="50"/>
      <c r="R101" s="50"/>
      <c r="S101" s="50"/>
      <c r="T101" s="50"/>
      <c r="U101" s="51"/>
      <c r="V101" s="29"/>
    </row>
    <row r="102" spans="8:22" x14ac:dyDescent="0.2">
      <c r="H102" s="1">
        <v>4</v>
      </c>
      <c r="L102" s="26"/>
    </row>
    <row r="103" spans="8:22" x14ac:dyDescent="0.2">
      <c r="L103" s="26"/>
    </row>
    <row r="104" spans="8:22" ht="18.75" customHeight="1" x14ac:dyDescent="0.2"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</sheetData>
  <mergeCells count="54">
    <mergeCell ref="K78:U78"/>
    <mergeCell ref="P81:Q81"/>
    <mergeCell ref="R81:S81"/>
    <mergeCell ref="N84:T84"/>
    <mergeCell ref="K104:U104"/>
    <mergeCell ref="K77:U77"/>
    <mergeCell ref="A30:A36"/>
    <mergeCell ref="B30:B36"/>
    <mergeCell ref="C30:C36"/>
    <mergeCell ref="H30:H35"/>
    <mergeCell ref="I30:I35"/>
    <mergeCell ref="A37:A43"/>
    <mergeCell ref="B37:B43"/>
    <mergeCell ref="C37:C43"/>
    <mergeCell ref="H37:H42"/>
    <mergeCell ref="I37:I42"/>
    <mergeCell ref="K50:U50"/>
    <mergeCell ref="K51:U51"/>
    <mergeCell ref="P54:Q54"/>
    <mergeCell ref="R54:S54"/>
    <mergeCell ref="N57:T57"/>
    <mergeCell ref="A16:A22"/>
    <mergeCell ref="B16:B22"/>
    <mergeCell ref="C16:C22"/>
    <mergeCell ref="H16:H21"/>
    <mergeCell ref="I16:I21"/>
    <mergeCell ref="A23:A29"/>
    <mergeCell ref="B23:B29"/>
    <mergeCell ref="C23:C29"/>
    <mergeCell ref="H23:H28"/>
    <mergeCell ref="I23:I28"/>
    <mergeCell ref="I9:I14"/>
    <mergeCell ref="A4:B4"/>
    <mergeCell ref="C4:D4"/>
    <mergeCell ref="E4:F4"/>
    <mergeCell ref="H4:I4"/>
    <mergeCell ref="A5:B5"/>
    <mergeCell ref="C5:D5"/>
    <mergeCell ref="E5:F5"/>
    <mergeCell ref="H5:I5"/>
    <mergeCell ref="E7:G7"/>
    <mergeCell ref="A9:A15"/>
    <mergeCell ref="B9:B15"/>
    <mergeCell ref="C9:C15"/>
    <mergeCell ref="H9:H14"/>
    <mergeCell ref="A3:B3"/>
    <mergeCell ref="C3:D3"/>
    <mergeCell ref="E3:F3"/>
    <mergeCell ref="H3:I3"/>
    <mergeCell ref="A1:I1"/>
    <mergeCell ref="A2:B2"/>
    <mergeCell ref="C2:D2"/>
    <mergeCell ref="E2:F2"/>
    <mergeCell ref="H2:I2"/>
  </mergeCells>
  <pageMargins left="1.41" right="0.22" top="1" bottom="0.65" header="0.5" footer="0.5"/>
  <pageSetup scale="8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2C48-F64C-4FD9-ACEA-F1CFFA8B5EA7}">
  <dimension ref="A1:V104"/>
  <sheetViews>
    <sheetView topLeftCell="A30" zoomScaleNormal="100" workbookViewId="0">
      <selection activeCell="H37" sqref="H37:H42"/>
    </sheetView>
  </sheetViews>
  <sheetFormatPr defaultRowHeight="12.75" x14ac:dyDescent="0.2"/>
  <cols>
    <col min="1" max="2" width="10.5703125" style="1" customWidth="1"/>
    <col min="3" max="3" width="10.5703125" style="1" hidden="1" customWidth="1"/>
    <col min="4" max="7" width="10.5703125" style="1" customWidth="1"/>
    <col min="8" max="8" width="11.42578125" style="1" customWidth="1"/>
    <col min="9" max="9" width="11.7109375" style="1" customWidth="1"/>
    <col min="10" max="11" width="9.140625" style="1"/>
    <col min="12" max="12" width="10.7109375" style="1" customWidth="1"/>
    <col min="13" max="20" width="9.140625" style="1"/>
    <col min="21" max="21" width="9.42578125" style="1" customWidth="1"/>
    <col min="22" max="182" width="9.140625" style="1"/>
    <col min="183" max="183" width="10.7109375" style="1" customWidth="1"/>
    <col min="184" max="191" width="9.140625" style="1"/>
    <col min="192" max="192" width="9.42578125" style="1" customWidth="1"/>
    <col min="193" max="438" width="9.140625" style="1"/>
    <col min="439" max="439" width="10.7109375" style="1" customWidth="1"/>
    <col min="440" max="447" width="9.140625" style="1"/>
    <col min="448" max="448" width="9.42578125" style="1" customWidth="1"/>
    <col min="449" max="694" width="9.140625" style="1"/>
    <col min="695" max="695" width="10.7109375" style="1" customWidth="1"/>
    <col min="696" max="703" width="9.140625" style="1"/>
    <col min="704" max="704" width="9.42578125" style="1" customWidth="1"/>
    <col min="705" max="950" width="9.140625" style="1"/>
    <col min="951" max="951" width="10.7109375" style="1" customWidth="1"/>
    <col min="952" max="959" width="9.140625" style="1"/>
    <col min="960" max="960" width="9.42578125" style="1" customWidth="1"/>
    <col min="961" max="1206" width="9.140625" style="1"/>
    <col min="1207" max="1207" width="10.7109375" style="1" customWidth="1"/>
    <col min="1208" max="1215" width="9.140625" style="1"/>
    <col min="1216" max="1216" width="9.42578125" style="1" customWidth="1"/>
    <col min="1217" max="1462" width="9.140625" style="1"/>
    <col min="1463" max="1463" width="10.7109375" style="1" customWidth="1"/>
    <col min="1464" max="1471" width="9.140625" style="1"/>
    <col min="1472" max="1472" width="9.42578125" style="1" customWidth="1"/>
    <col min="1473" max="1718" width="9.140625" style="1"/>
    <col min="1719" max="1719" width="10.7109375" style="1" customWidth="1"/>
    <col min="1720" max="1727" width="9.140625" style="1"/>
    <col min="1728" max="1728" width="9.42578125" style="1" customWidth="1"/>
    <col min="1729" max="1974" width="9.140625" style="1"/>
    <col min="1975" max="1975" width="10.7109375" style="1" customWidth="1"/>
    <col min="1976" max="1983" width="9.140625" style="1"/>
    <col min="1984" max="1984" width="9.42578125" style="1" customWidth="1"/>
    <col min="1985" max="2230" width="9.140625" style="1"/>
    <col min="2231" max="2231" width="10.7109375" style="1" customWidth="1"/>
    <col min="2232" max="2239" width="9.140625" style="1"/>
    <col min="2240" max="2240" width="9.42578125" style="1" customWidth="1"/>
    <col min="2241" max="2486" width="9.140625" style="1"/>
    <col min="2487" max="2487" width="10.7109375" style="1" customWidth="1"/>
    <col min="2488" max="2495" width="9.140625" style="1"/>
    <col min="2496" max="2496" width="9.42578125" style="1" customWidth="1"/>
    <col min="2497" max="2742" width="9.140625" style="1"/>
    <col min="2743" max="2743" width="10.7109375" style="1" customWidth="1"/>
    <col min="2744" max="2751" width="9.140625" style="1"/>
    <col min="2752" max="2752" width="9.42578125" style="1" customWidth="1"/>
    <col min="2753" max="2998" width="9.140625" style="1"/>
    <col min="2999" max="2999" width="10.7109375" style="1" customWidth="1"/>
    <col min="3000" max="3007" width="9.140625" style="1"/>
    <col min="3008" max="3008" width="9.42578125" style="1" customWidth="1"/>
    <col min="3009" max="3254" width="9.140625" style="1"/>
    <col min="3255" max="3255" width="10.7109375" style="1" customWidth="1"/>
    <col min="3256" max="3263" width="9.140625" style="1"/>
    <col min="3264" max="3264" width="9.42578125" style="1" customWidth="1"/>
    <col min="3265" max="3510" width="9.140625" style="1"/>
    <col min="3511" max="3511" width="10.7109375" style="1" customWidth="1"/>
    <col min="3512" max="3519" width="9.140625" style="1"/>
    <col min="3520" max="3520" width="9.42578125" style="1" customWidth="1"/>
    <col min="3521" max="3766" width="9.140625" style="1"/>
    <col min="3767" max="3767" width="10.7109375" style="1" customWidth="1"/>
    <col min="3768" max="3775" width="9.140625" style="1"/>
    <col min="3776" max="3776" width="9.42578125" style="1" customWidth="1"/>
    <col min="3777" max="4022" width="9.140625" style="1"/>
    <col min="4023" max="4023" width="10.7109375" style="1" customWidth="1"/>
    <col min="4024" max="4031" width="9.140625" style="1"/>
    <col min="4032" max="4032" width="9.42578125" style="1" customWidth="1"/>
    <col min="4033" max="4278" width="9.140625" style="1"/>
    <col min="4279" max="4279" width="10.7109375" style="1" customWidth="1"/>
    <col min="4280" max="4287" width="9.140625" style="1"/>
    <col min="4288" max="4288" width="9.42578125" style="1" customWidth="1"/>
    <col min="4289" max="4534" width="9.140625" style="1"/>
    <col min="4535" max="4535" width="10.7109375" style="1" customWidth="1"/>
    <col min="4536" max="4543" width="9.140625" style="1"/>
    <col min="4544" max="4544" width="9.42578125" style="1" customWidth="1"/>
    <col min="4545" max="4790" width="9.140625" style="1"/>
    <col min="4791" max="4791" width="10.7109375" style="1" customWidth="1"/>
    <col min="4792" max="4799" width="9.140625" style="1"/>
    <col min="4800" max="4800" width="9.42578125" style="1" customWidth="1"/>
    <col min="4801" max="5046" width="9.140625" style="1"/>
    <col min="5047" max="5047" width="10.7109375" style="1" customWidth="1"/>
    <col min="5048" max="5055" width="9.140625" style="1"/>
    <col min="5056" max="5056" width="9.42578125" style="1" customWidth="1"/>
    <col min="5057" max="5302" width="9.140625" style="1"/>
    <col min="5303" max="5303" width="10.7109375" style="1" customWidth="1"/>
    <col min="5304" max="5311" width="9.140625" style="1"/>
    <col min="5312" max="5312" width="9.42578125" style="1" customWidth="1"/>
    <col min="5313" max="5558" width="9.140625" style="1"/>
    <col min="5559" max="5559" width="10.7109375" style="1" customWidth="1"/>
    <col min="5560" max="5567" width="9.140625" style="1"/>
    <col min="5568" max="5568" width="9.42578125" style="1" customWidth="1"/>
    <col min="5569" max="5814" width="9.140625" style="1"/>
    <col min="5815" max="5815" width="10.7109375" style="1" customWidth="1"/>
    <col min="5816" max="5823" width="9.140625" style="1"/>
    <col min="5824" max="5824" width="9.42578125" style="1" customWidth="1"/>
    <col min="5825" max="6070" width="9.140625" style="1"/>
    <col min="6071" max="6071" width="10.7109375" style="1" customWidth="1"/>
    <col min="6072" max="6079" width="9.140625" style="1"/>
    <col min="6080" max="6080" width="9.42578125" style="1" customWidth="1"/>
    <col min="6081" max="6326" width="9.140625" style="1"/>
    <col min="6327" max="6327" width="10.7109375" style="1" customWidth="1"/>
    <col min="6328" max="6335" width="9.140625" style="1"/>
    <col min="6336" max="6336" width="9.42578125" style="1" customWidth="1"/>
    <col min="6337" max="6582" width="9.140625" style="1"/>
    <col min="6583" max="6583" width="10.7109375" style="1" customWidth="1"/>
    <col min="6584" max="6591" width="9.140625" style="1"/>
    <col min="6592" max="6592" width="9.42578125" style="1" customWidth="1"/>
    <col min="6593" max="6838" width="9.140625" style="1"/>
    <col min="6839" max="6839" width="10.7109375" style="1" customWidth="1"/>
    <col min="6840" max="6847" width="9.140625" style="1"/>
    <col min="6848" max="6848" width="9.42578125" style="1" customWidth="1"/>
    <col min="6849" max="7094" width="9.140625" style="1"/>
    <col min="7095" max="7095" width="10.7109375" style="1" customWidth="1"/>
    <col min="7096" max="7103" width="9.140625" style="1"/>
    <col min="7104" max="7104" width="9.42578125" style="1" customWidth="1"/>
    <col min="7105" max="7350" width="9.140625" style="1"/>
    <col min="7351" max="7351" width="10.7109375" style="1" customWidth="1"/>
    <col min="7352" max="7359" width="9.140625" style="1"/>
    <col min="7360" max="7360" width="9.42578125" style="1" customWidth="1"/>
    <col min="7361" max="7606" width="9.140625" style="1"/>
    <col min="7607" max="7607" width="10.7109375" style="1" customWidth="1"/>
    <col min="7608" max="7615" width="9.140625" style="1"/>
    <col min="7616" max="7616" width="9.42578125" style="1" customWidth="1"/>
    <col min="7617" max="7862" width="9.140625" style="1"/>
    <col min="7863" max="7863" width="10.7109375" style="1" customWidth="1"/>
    <col min="7864" max="7871" width="9.140625" style="1"/>
    <col min="7872" max="7872" width="9.42578125" style="1" customWidth="1"/>
    <col min="7873" max="8118" width="9.140625" style="1"/>
    <col min="8119" max="8119" width="10.7109375" style="1" customWidth="1"/>
    <col min="8120" max="8127" width="9.140625" style="1"/>
    <col min="8128" max="8128" width="9.42578125" style="1" customWidth="1"/>
    <col min="8129" max="8374" width="9.140625" style="1"/>
    <col min="8375" max="8375" width="10.7109375" style="1" customWidth="1"/>
    <col min="8376" max="8383" width="9.140625" style="1"/>
    <col min="8384" max="8384" width="9.42578125" style="1" customWidth="1"/>
    <col min="8385" max="8630" width="9.140625" style="1"/>
    <col min="8631" max="8631" width="10.7109375" style="1" customWidth="1"/>
    <col min="8632" max="8639" width="9.140625" style="1"/>
    <col min="8640" max="8640" width="9.42578125" style="1" customWidth="1"/>
    <col min="8641" max="8886" width="9.140625" style="1"/>
    <col min="8887" max="8887" width="10.7109375" style="1" customWidth="1"/>
    <col min="8888" max="8895" width="9.140625" style="1"/>
    <col min="8896" max="8896" width="9.42578125" style="1" customWidth="1"/>
    <col min="8897" max="9142" width="9.140625" style="1"/>
    <col min="9143" max="9143" width="10.7109375" style="1" customWidth="1"/>
    <col min="9144" max="9151" width="9.140625" style="1"/>
    <col min="9152" max="9152" width="9.42578125" style="1" customWidth="1"/>
    <col min="9153" max="9398" width="9.140625" style="1"/>
    <col min="9399" max="9399" width="10.7109375" style="1" customWidth="1"/>
    <col min="9400" max="9407" width="9.140625" style="1"/>
    <col min="9408" max="9408" width="9.42578125" style="1" customWidth="1"/>
    <col min="9409" max="9654" width="9.140625" style="1"/>
    <col min="9655" max="9655" width="10.7109375" style="1" customWidth="1"/>
    <col min="9656" max="9663" width="9.140625" style="1"/>
    <col min="9664" max="9664" width="9.42578125" style="1" customWidth="1"/>
    <col min="9665" max="9910" width="9.140625" style="1"/>
    <col min="9911" max="9911" width="10.7109375" style="1" customWidth="1"/>
    <col min="9912" max="9919" width="9.140625" style="1"/>
    <col min="9920" max="9920" width="9.42578125" style="1" customWidth="1"/>
    <col min="9921" max="10166" width="9.140625" style="1"/>
    <col min="10167" max="10167" width="10.7109375" style="1" customWidth="1"/>
    <col min="10168" max="10175" width="9.140625" style="1"/>
    <col min="10176" max="10176" width="9.42578125" style="1" customWidth="1"/>
    <col min="10177" max="10422" width="9.140625" style="1"/>
    <col min="10423" max="10423" width="10.7109375" style="1" customWidth="1"/>
    <col min="10424" max="10431" width="9.140625" style="1"/>
    <col min="10432" max="10432" width="9.42578125" style="1" customWidth="1"/>
    <col min="10433" max="10678" width="9.140625" style="1"/>
    <col min="10679" max="10679" width="10.7109375" style="1" customWidth="1"/>
    <col min="10680" max="10687" width="9.140625" style="1"/>
    <col min="10688" max="10688" width="9.42578125" style="1" customWidth="1"/>
    <col min="10689" max="10934" width="9.140625" style="1"/>
    <col min="10935" max="10935" width="10.7109375" style="1" customWidth="1"/>
    <col min="10936" max="10943" width="9.140625" style="1"/>
    <col min="10944" max="10944" width="9.42578125" style="1" customWidth="1"/>
    <col min="10945" max="11190" width="9.140625" style="1"/>
    <col min="11191" max="11191" width="10.7109375" style="1" customWidth="1"/>
    <col min="11192" max="11199" width="9.140625" style="1"/>
    <col min="11200" max="11200" width="9.42578125" style="1" customWidth="1"/>
    <col min="11201" max="11446" width="9.140625" style="1"/>
    <col min="11447" max="11447" width="10.7109375" style="1" customWidth="1"/>
    <col min="11448" max="11455" width="9.140625" style="1"/>
    <col min="11456" max="11456" width="9.42578125" style="1" customWidth="1"/>
    <col min="11457" max="11702" width="9.140625" style="1"/>
    <col min="11703" max="11703" width="10.7109375" style="1" customWidth="1"/>
    <col min="11704" max="11711" width="9.140625" style="1"/>
    <col min="11712" max="11712" width="9.42578125" style="1" customWidth="1"/>
    <col min="11713" max="11958" width="9.140625" style="1"/>
    <col min="11959" max="11959" width="10.7109375" style="1" customWidth="1"/>
    <col min="11960" max="11967" width="9.140625" style="1"/>
    <col min="11968" max="11968" width="9.42578125" style="1" customWidth="1"/>
    <col min="11969" max="12214" width="9.140625" style="1"/>
    <col min="12215" max="12215" width="10.7109375" style="1" customWidth="1"/>
    <col min="12216" max="12223" width="9.140625" style="1"/>
    <col min="12224" max="12224" width="9.42578125" style="1" customWidth="1"/>
    <col min="12225" max="12470" width="9.140625" style="1"/>
    <col min="12471" max="12471" width="10.7109375" style="1" customWidth="1"/>
    <col min="12472" max="12479" width="9.140625" style="1"/>
    <col min="12480" max="12480" width="9.42578125" style="1" customWidth="1"/>
    <col min="12481" max="12726" width="9.140625" style="1"/>
    <col min="12727" max="12727" width="10.7109375" style="1" customWidth="1"/>
    <col min="12728" max="12735" width="9.140625" style="1"/>
    <col min="12736" max="12736" width="9.42578125" style="1" customWidth="1"/>
    <col min="12737" max="12982" width="9.140625" style="1"/>
    <col min="12983" max="12983" width="10.7109375" style="1" customWidth="1"/>
    <col min="12984" max="12991" width="9.140625" style="1"/>
    <col min="12992" max="12992" width="9.42578125" style="1" customWidth="1"/>
    <col min="12993" max="13238" width="9.140625" style="1"/>
    <col min="13239" max="13239" width="10.7109375" style="1" customWidth="1"/>
    <col min="13240" max="13247" width="9.140625" style="1"/>
    <col min="13248" max="13248" width="9.42578125" style="1" customWidth="1"/>
    <col min="13249" max="13494" width="9.140625" style="1"/>
    <col min="13495" max="13495" width="10.7109375" style="1" customWidth="1"/>
    <col min="13496" max="13503" width="9.140625" style="1"/>
    <col min="13504" max="13504" width="9.42578125" style="1" customWidth="1"/>
    <col min="13505" max="13750" width="9.140625" style="1"/>
    <col min="13751" max="13751" width="10.7109375" style="1" customWidth="1"/>
    <col min="13752" max="13759" width="9.140625" style="1"/>
    <col min="13760" max="13760" width="9.42578125" style="1" customWidth="1"/>
    <col min="13761" max="14006" width="9.140625" style="1"/>
    <col min="14007" max="14007" width="10.7109375" style="1" customWidth="1"/>
    <col min="14008" max="14015" width="9.140625" style="1"/>
    <col min="14016" max="14016" width="9.42578125" style="1" customWidth="1"/>
    <col min="14017" max="14262" width="9.140625" style="1"/>
    <col min="14263" max="14263" width="10.7109375" style="1" customWidth="1"/>
    <col min="14264" max="14271" width="9.140625" style="1"/>
    <col min="14272" max="14272" width="9.42578125" style="1" customWidth="1"/>
    <col min="14273" max="14518" width="9.140625" style="1"/>
    <col min="14519" max="14519" width="10.7109375" style="1" customWidth="1"/>
    <col min="14520" max="14527" width="9.140625" style="1"/>
    <col min="14528" max="14528" width="9.42578125" style="1" customWidth="1"/>
    <col min="14529" max="14774" width="9.140625" style="1"/>
    <col min="14775" max="14775" width="10.7109375" style="1" customWidth="1"/>
    <col min="14776" max="14783" width="9.140625" style="1"/>
    <col min="14784" max="14784" width="9.42578125" style="1" customWidth="1"/>
    <col min="14785" max="15030" width="9.140625" style="1"/>
    <col min="15031" max="15031" width="10.7109375" style="1" customWidth="1"/>
    <col min="15032" max="15039" width="9.140625" style="1"/>
    <col min="15040" max="15040" width="9.42578125" style="1" customWidth="1"/>
    <col min="15041" max="15286" width="9.140625" style="1"/>
    <col min="15287" max="15287" width="10.7109375" style="1" customWidth="1"/>
    <col min="15288" max="15295" width="9.140625" style="1"/>
    <col min="15296" max="15296" width="9.42578125" style="1" customWidth="1"/>
    <col min="15297" max="15542" width="9.140625" style="1"/>
    <col min="15543" max="15543" width="10.7109375" style="1" customWidth="1"/>
    <col min="15544" max="15551" width="9.140625" style="1"/>
    <col min="15552" max="15552" width="9.42578125" style="1" customWidth="1"/>
    <col min="15553" max="15798" width="9.140625" style="1"/>
    <col min="15799" max="15799" width="10.7109375" style="1" customWidth="1"/>
    <col min="15800" max="15807" width="9.140625" style="1"/>
    <col min="15808" max="15808" width="9.42578125" style="1" customWidth="1"/>
    <col min="15809" max="16054" width="9.140625" style="1"/>
    <col min="16055" max="16055" width="10.7109375" style="1" customWidth="1"/>
    <col min="16056" max="16063" width="9.140625" style="1"/>
    <col min="16064" max="16064" width="9.42578125" style="1" customWidth="1"/>
    <col min="16065" max="16384" width="9.140625" style="1"/>
  </cols>
  <sheetData>
    <row r="1" spans="1:9" ht="14.25" x14ac:dyDescent="0.2">
      <c r="A1" s="95" t="s">
        <v>35</v>
      </c>
      <c r="B1" s="96"/>
      <c r="C1" s="96"/>
      <c r="D1" s="96"/>
      <c r="E1" s="96"/>
      <c r="F1" s="96"/>
      <c r="G1" s="96"/>
      <c r="H1" s="96"/>
      <c r="I1" s="97"/>
    </row>
    <row r="2" spans="1:9" ht="15" x14ac:dyDescent="0.2">
      <c r="A2" s="91" t="s">
        <v>0</v>
      </c>
      <c r="B2" s="92"/>
      <c r="C2" s="93" t="s">
        <v>36</v>
      </c>
      <c r="D2" s="93"/>
      <c r="E2" s="92" t="s">
        <v>1</v>
      </c>
      <c r="F2" s="92"/>
      <c r="G2" s="63"/>
      <c r="H2" s="98">
        <v>45259</v>
      </c>
      <c r="I2" s="94"/>
    </row>
    <row r="3" spans="1:9" ht="15" x14ac:dyDescent="0.2">
      <c r="A3" s="91" t="s">
        <v>2</v>
      </c>
      <c r="B3" s="92"/>
      <c r="C3" s="93" t="s">
        <v>37</v>
      </c>
      <c r="D3" s="93"/>
      <c r="E3" s="92" t="s">
        <v>3</v>
      </c>
      <c r="F3" s="92"/>
      <c r="G3" s="63"/>
      <c r="H3" s="93"/>
      <c r="I3" s="94"/>
    </row>
    <row r="4" spans="1:9" ht="15" x14ac:dyDescent="0.2">
      <c r="A4" s="91" t="s">
        <v>4</v>
      </c>
      <c r="B4" s="92"/>
      <c r="C4" s="93">
        <v>2</v>
      </c>
      <c r="D4" s="93"/>
      <c r="E4" s="92"/>
      <c r="F4" s="92"/>
      <c r="G4" s="63"/>
      <c r="H4" s="93"/>
      <c r="I4" s="94"/>
    </row>
    <row r="5" spans="1:9" ht="15" x14ac:dyDescent="0.2">
      <c r="A5" s="91"/>
      <c r="B5" s="92"/>
      <c r="C5" s="93"/>
      <c r="D5" s="93"/>
      <c r="E5" s="92"/>
      <c r="F5" s="92"/>
      <c r="G5" s="63"/>
      <c r="H5" s="93"/>
      <c r="I5" s="94"/>
    </row>
    <row r="6" spans="1:9" ht="15" x14ac:dyDescent="0.2">
      <c r="A6" s="2"/>
      <c r="B6" s="3"/>
      <c r="C6" s="3"/>
      <c r="D6" s="4"/>
      <c r="E6" s="4"/>
      <c r="F6" s="4"/>
      <c r="G6" s="4"/>
      <c r="H6" s="3"/>
      <c r="I6" s="5"/>
    </row>
    <row r="7" spans="1:9" ht="42.75" x14ac:dyDescent="0.2">
      <c r="A7" s="6" t="s">
        <v>5</v>
      </c>
      <c r="B7" s="6" t="s">
        <v>6</v>
      </c>
      <c r="C7" s="6" t="s">
        <v>7</v>
      </c>
      <c r="D7" s="6" t="s">
        <v>8</v>
      </c>
      <c r="E7" s="87" t="s">
        <v>9</v>
      </c>
      <c r="F7" s="88"/>
      <c r="G7" s="89"/>
      <c r="H7" s="6" t="s">
        <v>10</v>
      </c>
      <c r="I7" s="6" t="s">
        <v>11</v>
      </c>
    </row>
    <row r="8" spans="1:9" ht="16.5" x14ac:dyDescent="0.2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34</v>
      </c>
      <c r="H8" s="7" t="s">
        <v>18</v>
      </c>
      <c r="I8" s="7" t="s">
        <v>18</v>
      </c>
    </row>
    <row r="9" spans="1:9" ht="15" x14ac:dyDescent="0.2">
      <c r="A9" s="79">
        <v>25</v>
      </c>
      <c r="B9" s="82">
        <f>A9*154/1000</f>
        <v>3.85</v>
      </c>
      <c r="C9" s="82">
        <f>B9/(0.07)</f>
        <v>54.999999999999993</v>
      </c>
      <c r="D9" s="8">
        <v>0</v>
      </c>
      <c r="E9" s="9">
        <v>0.1</v>
      </c>
      <c r="F9" s="9">
        <v>0.16</v>
      </c>
      <c r="G9" s="9">
        <v>0.14000000000000001</v>
      </c>
      <c r="H9" s="82">
        <f>((E11-E9)+(F11-F9)+(G11-G9))/3</f>
        <v>0.63</v>
      </c>
      <c r="I9" s="85">
        <f>H9</f>
        <v>0.63</v>
      </c>
    </row>
    <row r="10" spans="1:9" ht="15" x14ac:dyDescent="0.2">
      <c r="A10" s="80"/>
      <c r="B10" s="83"/>
      <c r="C10" s="83"/>
      <c r="D10" s="10">
        <v>15</v>
      </c>
      <c r="E10" s="11"/>
      <c r="F10" s="11"/>
      <c r="G10" s="11"/>
      <c r="H10" s="83"/>
      <c r="I10" s="86"/>
    </row>
    <row r="11" spans="1:9" ht="15" x14ac:dyDescent="0.2">
      <c r="A11" s="80"/>
      <c r="B11" s="83"/>
      <c r="C11" s="83"/>
      <c r="D11" s="10">
        <v>30</v>
      </c>
      <c r="E11" s="11">
        <v>0.65</v>
      </c>
      <c r="F11" s="11">
        <v>0.87</v>
      </c>
      <c r="G11" s="11">
        <v>0.77</v>
      </c>
      <c r="H11" s="83"/>
      <c r="I11" s="86"/>
    </row>
    <row r="12" spans="1:9" ht="15" hidden="1" customHeight="1" x14ac:dyDescent="0.2">
      <c r="A12" s="80"/>
      <c r="B12" s="83"/>
      <c r="C12" s="83"/>
      <c r="D12" s="10">
        <v>6.25</v>
      </c>
      <c r="E12" s="11"/>
      <c r="F12" s="11"/>
      <c r="G12" s="11"/>
      <c r="H12" s="83"/>
      <c r="I12" s="86"/>
    </row>
    <row r="13" spans="1:9" ht="15" hidden="1" customHeight="1" x14ac:dyDescent="0.2">
      <c r="A13" s="80"/>
      <c r="B13" s="83"/>
      <c r="C13" s="83"/>
      <c r="D13" s="10">
        <v>9</v>
      </c>
      <c r="E13" s="11"/>
      <c r="F13" s="11"/>
      <c r="G13" s="11"/>
      <c r="H13" s="83"/>
      <c r="I13" s="86"/>
    </row>
    <row r="14" spans="1:9" ht="15" hidden="1" customHeight="1" x14ac:dyDescent="0.2">
      <c r="A14" s="80"/>
      <c r="B14" s="83"/>
      <c r="C14" s="83"/>
      <c r="D14" s="12">
        <v>12</v>
      </c>
      <c r="E14" s="13"/>
      <c r="F14" s="13"/>
      <c r="G14" s="13"/>
      <c r="H14" s="84"/>
      <c r="I14" s="90"/>
    </row>
    <row r="15" spans="1:9" ht="15" hidden="1" customHeight="1" x14ac:dyDescent="0.2">
      <c r="A15" s="81"/>
      <c r="B15" s="84"/>
      <c r="C15" s="84"/>
      <c r="D15" s="10">
        <v>16</v>
      </c>
      <c r="E15" s="11">
        <v>1.59</v>
      </c>
      <c r="F15" s="11">
        <v>1.27</v>
      </c>
      <c r="G15" s="11"/>
      <c r="H15" s="64"/>
      <c r="I15" s="65"/>
    </row>
    <row r="16" spans="1:9" ht="15" x14ac:dyDescent="0.2">
      <c r="A16" s="79">
        <v>50</v>
      </c>
      <c r="B16" s="82">
        <f>A16*154/1000</f>
        <v>7.7</v>
      </c>
      <c r="C16" s="82">
        <f t="shared" ref="C16" si="0">B16/(0.07)</f>
        <v>109.99999999999999</v>
      </c>
      <c r="D16" s="8">
        <v>0</v>
      </c>
      <c r="E16" s="9">
        <f>E11</f>
        <v>0.65</v>
      </c>
      <c r="F16" s="9">
        <f>F11</f>
        <v>0.87</v>
      </c>
      <c r="G16" s="9">
        <f>G11</f>
        <v>0.77</v>
      </c>
      <c r="H16" s="82">
        <f>((E18-E16)+(F18-F16)+(G18-G16))/3</f>
        <v>0.34666666666666668</v>
      </c>
      <c r="I16" s="82">
        <f>I9+H16</f>
        <v>0.97666666666666668</v>
      </c>
    </row>
    <row r="17" spans="1:9" ht="15" x14ac:dyDescent="0.2">
      <c r="A17" s="80"/>
      <c r="B17" s="83"/>
      <c r="C17" s="83"/>
      <c r="D17" s="10">
        <v>15</v>
      </c>
      <c r="E17" s="11"/>
      <c r="F17" s="11"/>
      <c r="G17" s="11"/>
      <c r="H17" s="83"/>
      <c r="I17" s="83"/>
    </row>
    <row r="18" spans="1:9" ht="15" x14ac:dyDescent="0.2">
      <c r="A18" s="80"/>
      <c r="B18" s="83"/>
      <c r="C18" s="83"/>
      <c r="D18" s="10">
        <v>30</v>
      </c>
      <c r="E18" s="11">
        <v>1.03</v>
      </c>
      <c r="F18" s="11">
        <v>1.19</v>
      </c>
      <c r="G18" s="11">
        <v>1.1100000000000001</v>
      </c>
      <c r="H18" s="83"/>
      <c r="I18" s="83"/>
    </row>
    <row r="19" spans="1:9" ht="15" hidden="1" x14ac:dyDescent="0.2">
      <c r="A19" s="80"/>
      <c r="B19" s="83"/>
      <c r="C19" s="83"/>
      <c r="D19" s="10">
        <v>6.25</v>
      </c>
      <c r="E19" s="11"/>
      <c r="F19" s="11"/>
      <c r="G19" s="11"/>
      <c r="H19" s="83"/>
      <c r="I19" s="83"/>
    </row>
    <row r="20" spans="1:9" ht="15" hidden="1" x14ac:dyDescent="0.2">
      <c r="A20" s="80"/>
      <c r="B20" s="83"/>
      <c r="C20" s="83"/>
      <c r="D20" s="10">
        <v>9</v>
      </c>
      <c r="E20" s="11"/>
      <c r="F20" s="11"/>
      <c r="G20" s="11"/>
      <c r="H20" s="83"/>
      <c r="I20" s="83"/>
    </row>
    <row r="21" spans="1:9" ht="15" hidden="1" x14ac:dyDescent="0.2">
      <c r="A21" s="80"/>
      <c r="B21" s="83"/>
      <c r="C21" s="83"/>
      <c r="D21" s="12">
        <v>12</v>
      </c>
      <c r="E21" s="13"/>
      <c r="F21" s="13"/>
      <c r="G21" s="13"/>
      <c r="H21" s="84"/>
      <c r="I21" s="84"/>
    </row>
    <row r="22" spans="1:9" ht="15" hidden="1" x14ac:dyDescent="0.2">
      <c r="A22" s="81"/>
      <c r="B22" s="84"/>
      <c r="C22" s="84"/>
      <c r="D22" s="10">
        <v>16</v>
      </c>
      <c r="E22" s="11">
        <v>2.35</v>
      </c>
      <c r="F22" s="11">
        <v>1.93</v>
      </c>
      <c r="G22" s="11"/>
      <c r="H22" s="64"/>
      <c r="I22" s="64"/>
    </row>
    <row r="23" spans="1:9" ht="15" x14ac:dyDescent="0.2">
      <c r="A23" s="79">
        <v>75</v>
      </c>
      <c r="B23" s="82">
        <f>A23*154/1000</f>
        <v>11.55</v>
      </c>
      <c r="C23" s="82">
        <f t="shared" ref="C23" si="1">B23/(0.07)</f>
        <v>165</v>
      </c>
      <c r="D23" s="8">
        <v>0</v>
      </c>
      <c r="E23" s="9">
        <f>E18</f>
        <v>1.03</v>
      </c>
      <c r="F23" s="9">
        <f>F18</f>
        <v>1.19</v>
      </c>
      <c r="G23" s="9">
        <f>G18</f>
        <v>1.1100000000000001</v>
      </c>
      <c r="H23" s="82">
        <f>((E25-E23)+(F25-F23)+(G25-G23))/3</f>
        <v>0.49333333333333323</v>
      </c>
      <c r="I23" s="82">
        <f>I16+H23</f>
        <v>1.47</v>
      </c>
    </row>
    <row r="24" spans="1:9" ht="15" x14ac:dyDescent="0.2">
      <c r="A24" s="80"/>
      <c r="B24" s="83"/>
      <c r="C24" s="83"/>
      <c r="D24" s="10">
        <v>15</v>
      </c>
      <c r="E24" s="11"/>
      <c r="F24" s="11"/>
      <c r="G24" s="11"/>
      <c r="H24" s="83"/>
      <c r="I24" s="83"/>
    </row>
    <row r="25" spans="1:9" ht="15" x14ac:dyDescent="0.2">
      <c r="A25" s="80"/>
      <c r="B25" s="83"/>
      <c r="C25" s="83"/>
      <c r="D25" s="10">
        <v>30</v>
      </c>
      <c r="E25" s="11">
        <v>1.67</v>
      </c>
      <c r="F25" s="11">
        <v>1.75</v>
      </c>
      <c r="G25" s="11">
        <v>1.39</v>
      </c>
      <c r="H25" s="83"/>
      <c r="I25" s="83"/>
    </row>
    <row r="26" spans="1:9" ht="15" hidden="1" customHeight="1" x14ac:dyDescent="0.2">
      <c r="A26" s="80"/>
      <c r="B26" s="83"/>
      <c r="C26" s="83"/>
      <c r="D26" s="10">
        <v>6.25</v>
      </c>
      <c r="E26" s="11"/>
      <c r="F26" s="11"/>
      <c r="G26" s="11"/>
      <c r="H26" s="83"/>
      <c r="I26" s="83"/>
    </row>
    <row r="27" spans="1:9" ht="15" hidden="1" customHeight="1" x14ac:dyDescent="0.2">
      <c r="A27" s="80"/>
      <c r="B27" s="83"/>
      <c r="C27" s="83"/>
      <c r="D27" s="10">
        <v>9</v>
      </c>
      <c r="E27" s="11"/>
      <c r="F27" s="11"/>
      <c r="G27" s="11"/>
      <c r="H27" s="83"/>
      <c r="I27" s="83"/>
    </row>
    <row r="28" spans="1:9" ht="15" hidden="1" customHeight="1" x14ac:dyDescent="0.2">
      <c r="A28" s="80"/>
      <c r="B28" s="83"/>
      <c r="C28" s="83"/>
      <c r="D28" s="12">
        <v>12</v>
      </c>
      <c r="E28" s="11"/>
      <c r="F28" s="11"/>
      <c r="G28" s="11"/>
      <c r="H28" s="84"/>
      <c r="I28" s="84"/>
    </row>
    <row r="29" spans="1:9" ht="15" hidden="1" x14ac:dyDescent="0.2">
      <c r="A29" s="81"/>
      <c r="B29" s="84"/>
      <c r="C29" s="84"/>
      <c r="D29" s="10">
        <v>16</v>
      </c>
      <c r="E29" s="11">
        <v>3.19</v>
      </c>
      <c r="F29" s="11">
        <v>2.5</v>
      </c>
      <c r="G29" s="11"/>
      <c r="H29" s="64"/>
      <c r="I29" s="64"/>
    </row>
    <row r="30" spans="1:9" ht="15" x14ac:dyDescent="0.2">
      <c r="A30" s="79">
        <v>100</v>
      </c>
      <c r="B30" s="82">
        <f>A30*154/1000</f>
        <v>15.4</v>
      </c>
      <c r="C30" s="82">
        <f t="shared" ref="C30" si="2">B30/(0.07)</f>
        <v>219.99999999999997</v>
      </c>
      <c r="D30" s="8">
        <v>0</v>
      </c>
      <c r="E30" s="9">
        <f>E25</f>
        <v>1.67</v>
      </c>
      <c r="F30" s="9">
        <f>F25</f>
        <v>1.75</v>
      </c>
      <c r="G30" s="9">
        <f>G25</f>
        <v>1.39</v>
      </c>
      <c r="H30" s="82">
        <f>((E32-E30)+(F32-F30)+(G32-G30))/3</f>
        <v>1.05</v>
      </c>
      <c r="I30" s="82">
        <f>I23+H30</f>
        <v>2.52</v>
      </c>
    </row>
    <row r="31" spans="1:9" ht="15" x14ac:dyDescent="0.2">
      <c r="A31" s="80"/>
      <c r="B31" s="83"/>
      <c r="C31" s="83"/>
      <c r="D31" s="10">
        <v>15</v>
      </c>
      <c r="E31" s="11"/>
      <c r="F31" s="11"/>
      <c r="G31" s="11"/>
      <c r="H31" s="83"/>
      <c r="I31" s="83"/>
    </row>
    <row r="32" spans="1:9" ht="15" x14ac:dyDescent="0.2">
      <c r="A32" s="80"/>
      <c r="B32" s="83"/>
      <c r="C32" s="83"/>
      <c r="D32" s="10">
        <v>30</v>
      </c>
      <c r="E32" s="11">
        <v>2.54</v>
      </c>
      <c r="F32" s="11">
        <v>2.68</v>
      </c>
      <c r="G32" s="11">
        <v>2.74</v>
      </c>
      <c r="H32" s="83"/>
      <c r="I32" s="83"/>
    </row>
    <row r="33" spans="1:10" ht="15" hidden="1" x14ac:dyDescent="0.2">
      <c r="A33" s="80"/>
      <c r="B33" s="83"/>
      <c r="C33" s="83"/>
      <c r="D33" s="10">
        <v>6.25</v>
      </c>
      <c r="E33" s="11"/>
      <c r="F33" s="11"/>
      <c r="G33" s="11"/>
      <c r="H33" s="83"/>
      <c r="I33" s="83"/>
    </row>
    <row r="34" spans="1:10" ht="15" hidden="1" x14ac:dyDescent="0.2">
      <c r="A34" s="80"/>
      <c r="B34" s="83"/>
      <c r="C34" s="83"/>
      <c r="D34" s="10">
        <v>9</v>
      </c>
      <c r="E34" s="11"/>
      <c r="F34" s="11"/>
      <c r="G34" s="11"/>
      <c r="H34" s="83"/>
      <c r="I34" s="83"/>
    </row>
    <row r="35" spans="1:10" ht="15" hidden="1" x14ac:dyDescent="0.2">
      <c r="A35" s="80"/>
      <c r="B35" s="83"/>
      <c r="C35" s="83"/>
      <c r="D35" s="12">
        <v>12</v>
      </c>
      <c r="E35" s="11"/>
      <c r="F35" s="11"/>
      <c r="G35" s="11"/>
      <c r="H35" s="84"/>
      <c r="I35" s="84"/>
    </row>
    <row r="36" spans="1:10" ht="15" hidden="1" x14ac:dyDescent="0.2">
      <c r="A36" s="81"/>
      <c r="B36" s="84"/>
      <c r="C36" s="84"/>
      <c r="D36" s="10">
        <v>16</v>
      </c>
      <c r="E36" s="11">
        <v>4.0999999999999996</v>
      </c>
      <c r="F36" s="11">
        <v>2.9</v>
      </c>
      <c r="G36" s="11"/>
      <c r="H36" s="64"/>
      <c r="I36" s="65"/>
    </row>
    <row r="37" spans="1:10" ht="15" x14ac:dyDescent="0.2">
      <c r="A37" s="79">
        <v>125</v>
      </c>
      <c r="B37" s="82">
        <f>A37*154/1000</f>
        <v>19.25</v>
      </c>
      <c r="C37" s="82">
        <f>B37/(0.07)</f>
        <v>275</v>
      </c>
      <c r="D37" s="8">
        <v>0</v>
      </c>
      <c r="E37" s="9">
        <f>E32</f>
        <v>2.54</v>
      </c>
      <c r="F37" s="9">
        <f>F32</f>
        <v>2.68</v>
      </c>
      <c r="G37" s="9">
        <f>G32</f>
        <v>2.74</v>
      </c>
      <c r="H37" s="82">
        <f>((E39-E37)+(F39-F37)+(G39-G37))/3</f>
        <v>0.76999999999999991</v>
      </c>
      <c r="I37" s="85">
        <f>I30+H37</f>
        <v>3.29</v>
      </c>
    </row>
    <row r="38" spans="1:10" ht="15" x14ac:dyDescent="0.2">
      <c r="A38" s="80"/>
      <c r="B38" s="83"/>
      <c r="C38" s="83"/>
      <c r="D38" s="10">
        <v>15</v>
      </c>
      <c r="E38" s="11"/>
      <c r="F38" s="11"/>
      <c r="G38" s="11"/>
      <c r="H38" s="83"/>
      <c r="I38" s="86"/>
    </row>
    <row r="39" spans="1:10" ht="15" x14ac:dyDescent="0.2">
      <c r="A39" s="80"/>
      <c r="B39" s="83"/>
      <c r="C39" s="83"/>
      <c r="D39" s="10">
        <v>30</v>
      </c>
      <c r="E39" s="11">
        <v>3.37</v>
      </c>
      <c r="F39" s="11">
        <v>3.42</v>
      </c>
      <c r="G39" s="11">
        <v>3.48</v>
      </c>
      <c r="H39" s="83"/>
      <c r="I39" s="86"/>
    </row>
    <row r="40" spans="1:10" ht="15" hidden="1" x14ac:dyDescent="0.2">
      <c r="A40" s="80"/>
      <c r="B40" s="83"/>
      <c r="C40" s="83"/>
      <c r="D40" s="10">
        <v>6.25</v>
      </c>
      <c r="E40" s="11"/>
      <c r="F40" s="11"/>
      <c r="G40" s="11"/>
      <c r="H40" s="83"/>
      <c r="I40" s="86"/>
      <c r="J40" s="1">
        <f>C37/2.5</f>
        <v>110</v>
      </c>
    </row>
    <row r="41" spans="1:10" ht="15" hidden="1" x14ac:dyDescent="0.2">
      <c r="A41" s="80"/>
      <c r="B41" s="83"/>
      <c r="C41" s="83"/>
      <c r="D41" s="10">
        <v>9</v>
      </c>
      <c r="E41" s="11"/>
      <c r="F41" s="11"/>
      <c r="G41" s="11"/>
      <c r="H41" s="83"/>
      <c r="I41" s="86"/>
    </row>
    <row r="42" spans="1:10" ht="15" hidden="1" x14ac:dyDescent="0.2">
      <c r="A42" s="80"/>
      <c r="B42" s="83"/>
      <c r="C42" s="83"/>
      <c r="D42" s="12">
        <v>12</v>
      </c>
      <c r="E42" s="11"/>
      <c r="F42" s="11"/>
      <c r="G42" s="11"/>
      <c r="H42" s="83"/>
      <c r="I42" s="86"/>
    </row>
    <row r="43" spans="1:10" ht="15" hidden="1" x14ac:dyDescent="0.2">
      <c r="A43" s="81"/>
      <c r="B43" s="84"/>
      <c r="C43" s="84"/>
      <c r="D43" s="12">
        <v>16</v>
      </c>
      <c r="E43" s="11">
        <v>4.66</v>
      </c>
      <c r="F43" s="11">
        <v>3.66</v>
      </c>
      <c r="G43" s="11"/>
      <c r="H43" s="64"/>
      <c r="I43" s="65"/>
    </row>
    <row r="44" spans="1:10" ht="15" x14ac:dyDescent="0.2">
      <c r="A44" s="14">
        <v>100</v>
      </c>
      <c r="B44" s="15">
        <f>A44*154/1000</f>
        <v>15.4</v>
      </c>
      <c r="C44" s="15">
        <f>B44/(0.07)</f>
        <v>219.99999999999997</v>
      </c>
      <c r="D44" s="14">
        <v>0</v>
      </c>
      <c r="E44" s="16">
        <v>3.29</v>
      </c>
      <c r="F44" s="16">
        <v>3.32</v>
      </c>
      <c r="G44" s="16">
        <v>3.39</v>
      </c>
      <c r="H44" s="66">
        <f>((E44-E39)+(F44-F39)+(G44-G39))/3</f>
        <v>-9.0000000000000011E-2</v>
      </c>
      <c r="I44" s="67">
        <f>I37+H44</f>
        <v>3.2</v>
      </c>
    </row>
    <row r="45" spans="1:10" ht="15" x14ac:dyDescent="0.2">
      <c r="A45" s="14">
        <v>75</v>
      </c>
      <c r="B45" s="15">
        <f t="shared" ref="B45:B48" si="3">A45*154/1000</f>
        <v>11.55</v>
      </c>
      <c r="C45" s="15">
        <f t="shared" ref="C45:C47" si="4">B45/(0.07)</f>
        <v>165</v>
      </c>
      <c r="D45" s="14">
        <v>0</v>
      </c>
      <c r="E45" s="16">
        <v>3.2</v>
      </c>
      <c r="F45" s="16">
        <v>3.25</v>
      </c>
      <c r="G45" s="16">
        <v>3.3</v>
      </c>
      <c r="H45" s="66">
        <f>((E45-E44)+(F45-F44)+(G45-G44))/3</f>
        <v>-8.3333333333333329E-2</v>
      </c>
      <c r="I45" s="67">
        <f>I44+H45</f>
        <v>3.1166666666666667</v>
      </c>
    </row>
    <row r="46" spans="1:10" ht="15" x14ac:dyDescent="0.2">
      <c r="A46" s="14">
        <v>50</v>
      </c>
      <c r="B46" s="15">
        <f t="shared" si="3"/>
        <v>7.7</v>
      </c>
      <c r="C46" s="15">
        <f t="shared" si="4"/>
        <v>109.99999999999999</v>
      </c>
      <c r="D46" s="14">
        <v>0</v>
      </c>
      <c r="E46" s="16">
        <v>3.11</v>
      </c>
      <c r="F46" s="16">
        <v>3.18</v>
      </c>
      <c r="G46" s="16">
        <v>3.21</v>
      </c>
      <c r="H46" s="66">
        <f>((E46-E45)+(F46-F45)+(G46-G45))/3</f>
        <v>-8.3333333333333329E-2</v>
      </c>
      <c r="I46" s="67">
        <f>I45+H46</f>
        <v>3.0333333333333332</v>
      </c>
    </row>
    <row r="47" spans="1:10" ht="15" x14ac:dyDescent="0.2">
      <c r="A47" s="14">
        <v>25</v>
      </c>
      <c r="B47" s="15">
        <f t="shared" ref="B47" si="5">A47*33/1000</f>
        <v>0.82499999999999996</v>
      </c>
      <c r="C47" s="15">
        <f t="shared" si="4"/>
        <v>11.785714285714285</v>
      </c>
      <c r="D47" s="12">
        <v>0</v>
      </c>
      <c r="E47" s="13">
        <v>3.05</v>
      </c>
      <c r="F47" s="13">
        <v>3.09</v>
      </c>
      <c r="G47" s="13">
        <v>3.14</v>
      </c>
      <c r="H47" s="66">
        <f>((E47-E46)+(F47-F46)+(G47-G46))/3</f>
        <v>-7.3333333333333403E-2</v>
      </c>
      <c r="I47" s="67">
        <f>I46+H47</f>
        <v>2.96</v>
      </c>
    </row>
    <row r="48" spans="1:10" ht="15" x14ac:dyDescent="0.2">
      <c r="A48" s="17">
        <v>0</v>
      </c>
      <c r="B48" s="15">
        <f t="shared" si="3"/>
        <v>0</v>
      </c>
      <c r="C48" s="17"/>
      <c r="D48" s="14">
        <v>0</v>
      </c>
      <c r="E48" s="13">
        <v>2.99</v>
      </c>
      <c r="F48" s="13">
        <v>2.95</v>
      </c>
      <c r="G48" s="13">
        <v>2.91</v>
      </c>
      <c r="H48" s="66">
        <f>((E48-E47)+(F48-F47)+(G48-G47))/3</f>
        <v>-0.14333333333333309</v>
      </c>
      <c r="I48" s="67">
        <f>I47+H48</f>
        <v>2.8166666666666669</v>
      </c>
    </row>
    <row r="49" spans="1:22" ht="15.75" thickBot="1" x14ac:dyDescent="0.25">
      <c r="A49" s="17"/>
      <c r="B49" s="17"/>
      <c r="C49" s="17"/>
      <c r="D49" s="17"/>
      <c r="E49" s="17"/>
      <c r="F49" s="17"/>
      <c r="G49" s="17"/>
      <c r="H49" s="17"/>
      <c r="I49" s="17"/>
    </row>
    <row r="50" spans="1:22" ht="16.5" thickBot="1" x14ac:dyDescent="0.25">
      <c r="A50" s="17"/>
      <c r="B50" s="17"/>
      <c r="C50" s="17"/>
      <c r="D50" s="17"/>
      <c r="E50" s="17"/>
      <c r="F50" s="17"/>
      <c r="G50" s="17"/>
      <c r="H50" s="17"/>
      <c r="I50" s="17"/>
      <c r="K50" s="76" t="s">
        <v>19</v>
      </c>
      <c r="L50" s="77"/>
      <c r="M50" s="77"/>
      <c r="N50" s="77"/>
      <c r="O50" s="77"/>
      <c r="P50" s="77"/>
      <c r="Q50" s="77"/>
      <c r="R50" s="77"/>
      <c r="S50" s="77"/>
      <c r="T50" s="77"/>
      <c r="U50" s="78"/>
    </row>
    <row r="51" spans="1:22" ht="12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K51" s="69" t="str">
        <f>C2</f>
        <v>377 MLD</v>
      </c>
      <c r="L51" s="70"/>
      <c r="M51" s="70"/>
      <c r="N51" s="70"/>
      <c r="O51" s="70"/>
      <c r="P51" s="70"/>
      <c r="Q51" s="70"/>
      <c r="R51" s="70"/>
      <c r="S51" s="70"/>
      <c r="T51" s="70"/>
      <c r="U51" s="71"/>
    </row>
    <row r="52" spans="1:22" ht="15" x14ac:dyDescent="0.2">
      <c r="A52" s="17"/>
      <c r="B52" s="17"/>
      <c r="C52" s="17"/>
      <c r="D52" s="17"/>
      <c r="E52" s="17"/>
      <c r="F52" s="17"/>
      <c r="G52" s="17"/>
      <c r="H52" s="17"/>
      <c r="I52" s="17"/>
      <c r="K52" s="18" t="s">
        <v>20</v>
      </c>
      <c r="L52" s="19">
        <f>C4</f>
        <v>2</v>
      </c>
      <c r="M52" s="20" t="s">
        <v>21</v>
      </c>
      <c r="N52" s="1" t="str">
        <f>C3</f>
        <v>GVPR</v>
      </c>
      <c r="O52" s="21"/>
      <c r="P52" s="19"/>
      <c r="Q52" s="19"/>
      <c r="R52" s="20"/>
      <c r="T52" s="19"/>
      <c r="U52" s="22"/>
    </row>
    <row r="53" spans="1:22" ht="15" x14ac:dyDescent="0.2">
      <c r="A53" s="17"/>
      <c r="B53" s="17"/>
      <c r="C53" s="17"/>
      <c r="D53" s="17"/>
      <c r="E53" s="17"/>
      <c r="F53" s="17"/>
      <c r="G53" s="17"/>
      <c r="H53" s="17"/>
      <c r="I53" s="17"/>
      <c r="K53" s="23" t="s">
        <v>22</v>
      </c>
      <c r="L53" s="20">
        <f>H3</f>
        <v>0</v>
      </c>
      <c r="P53" s="24"/>
      <c r="Q53" s="25"/>
      <c r="S53" s="25"/>
      <c r="T53" s="26"/>
      <c r="U53" s="27"/>
    </row>
    <row r="54" spans="1:22" ht="15" x14ac:dyDescent="0.2">
      <c r="A54" s="17"/>
      <c r="B54" s="17"/>
      <c r="C54" s="17"/>
      <c r="D54" s="17"/>
      <c r="E54" s="17"/>
      <c r="F54" s="17"/>
      <c r="G54" s="17"/>
      <c r="H54" s="17"/>
      <c r="I54" s="17"/>
      <c r="K54" s="23" t="s">
        <v>23</v>
      </c>
      <c r="L54" s="28" t="s">
        <v>33</v>
      </c>
      <c r="N54" s="29"/>
      <c r="O54" s="1" t="s">
        <v>24</v>
      </c>
      <c r="P54" s="72">
        <f>H4</f>
        <v>0</v>
      </c>
      <c r="Q54" s="72"/>
      <c r="R54" s="72">
        <f>H5</f>
        <v>0</v>
      </c>
      <c r="S54" s="72"/>
      <c r="T54" s="30"/>
      <c r="U54" s="27"/>
    </row>
    <row r="55" spans="1:22" ht="12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K55" s="23" t="s">
        <v>25</v>
      </c>
      <c r="L55" s="1">
        <f>C5</f>
        <v>0</v>
      </c>
      <c r="N55" s="29"/>
      <c r="P55" s="26"/>
      <c r="Q55" s="25"/>
      <c r="R55" s="31"/>
      <c r="S55" s="25"/>
      <c r="T55" s="29"/>
      <c r="U55" s="27"/>
    </row>
    <row r="56" spans="1:22" ht="12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K56" s="23" t="s">
        <v>26</v>
      </c>
      <c r="L56" s="32">
        <f>H2</f>
        <v>45259</v>
      </c>
      <c r="P56" s="26"/>
      <c r="Q56" s="33"/>
      <c r="R56" s="31"/>
      <c r="S56" s="25"/>
      <c r="T56" s="29"/>
      <c r="U56" s="27"/>
    </row>
    <row r="57" spans="1:22" ht="16.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K57" s="23"/>
      <c r="N57" s="74" t="s">
        <v>27</v>
      </c>
      <c r="O57" s="74"/>
      <c r="P57" s="74"/>
      <c r="Q57" s="74"/>
      <c r="R57" s="74"/>
      <c r="S57" s="74"/>
      <c r="T57" s="74"/>
      <c r="U57" s="27"/>
    </row>
    <row r="58" spans="1:22" ht="15.75" x14ac:dyDescent="0.25">
      <c r="A58" s="17"/>
      <c r="B58" s="17"/>
      <c r="C58" s="17"/>
      <c r="D58" s="17"/>
      <c r="E58" s="17"/>
      <c r="F58" s="17"/>
      <c r="G58" s="17"/>
      <c r="H58" s="17"/>
      <c r="I58" s="17"/>
      <c r="K58" s="23"/>
      <c r="P58" s="34"/>
      <c r="Q58" s="31"/>
      <c r="R58" s="31"/>
      <c r="S58" s="31"/>
      <c r="U58" s="27"/>
      <c r="V58" s="29"/>
    </row>
    <row r="59" spans="1:22" ht="38.25" x14ac:dyDescent="0.2">
      <c r="A59" s="17"/>
      <c r="B59" s="17"/>
      <c r="C59" s="17"/>
      <c r="D59" s="17"/>
      <c r="E59" s="17"/>
      <c r="F59" s="17"/>
      <c r="G59" s="17"/>
      <c r="H59" s="17"/>
      <c r="I59" s="17"/>
      <c r="K59" s="35" t="s">
        <v>28</v>
      </c>
      <c r="L59" s="36" t="s">
        <v>29</v>
      </c>
      <c r="M59" s="37"/>
      <c r="N59" s="38"/>
      <c r="O59" s="38"/>
      <c r="P59" s="38"/>
      <c r="Q59" s="29"/>
      <c r="R59" s="29"/>
      <c r="S59" s="29"/>
      <c r="T59" s="29"/>
      <c r="U59" s="39"/>
      <c r="V59" s="37"/>
    </row>
    <row r="60" spans="1:22" ht="15" x14ac:dyDescent="0.2">
      <c r="A60" s="17"/>
      <c r="B60" s="17"/>
      <c r="C60" s="17"/>
      <c r="D60" s="17"/>
      <c r="E60" s="17"/>
      <c r="F60" s="17"/>
      <c r="G60" s="17"/>
      <c r="H60" s="17"/>
      <c r="I60" s="17"/>
      <c r="K60" s="40"/>
      <c r="L60" s="41"/>
      <c r="M60" s="25"/>
      <c r="N60" s="25"/>
      <c r="O60" s="25"/>
      <c r="Q60" s="29"/>
      <c r="R60" s="29"/>
      <c r="S60" s="29"/>
      <c r="T60" s="29"/>
      <c r="U60" s="27"/>
      <c r="V60" s="29"/>
    </row>
    <row r="61" spans="1:22" ht="15" x14ac:dyDescent="0.2">
      <c r="A61" s="17"/>
      <c r="B61" s="17"/>
      <c r="C61" s="17"/>
      <c r="D61" s="17"/>
      <c r="E61" s="17"/>
      <c r="F61" s="17"/>
      <c r="G61" s="17"/>
      <c r="H61" s="17"/>
      <c r="I61" s="17"/>
      <c r="K61" s="42">
        <f>B9</f>
        <v>3.85</v>
      </c>
      <c r="L61" s="43">
        <f>I9</f>
        <v>0.63</v>
      </c>
      <c r="M61" s="25"/>
      <c r="N61" s="25"/>
      <c r="O61" s="25"/>
      <c r="Q61" s="29"/>
      <c r="R61" s="29"/>
      <c r="S61" s="29"/>
      <c r="T61" s="29"/>
      <c r="U61" s="27"/>
      <c r="V61" s="29"/>
    </row>
    <row r="62" spans="1:22" ht="15" x14ac:dyDescent="0.2">
      <c r="A62" s="17"/>
      <c r="B62" s="17"/>
      <c r="C62" s="17"/>
      <c r="D62" s="17"/>
      <c r="E62" s="17"/>
      <c r="F62" s="17"/>
      <c r="G62" s="17"/>
      <c r="H62" s="17"/>
      <c r="I62" s="17"/>
      <c r="K62" s="42">
        <f>B16</f>
        <v>7.7</v>
      </c>
      <c r="L62" s="43">
        <f>I16</f>
        <v>0.97666666666666668</v>
      </c>
      <c r="M62" s="25"/>
      <c r="N62" s="25"/>
      <c r="O62" s="25"/>
      <c r="Q62" s="29"/>
      <c r="R62" s="29"/>
      <c r="S62" s="29"/>
      <c r="T62" s="29"/>
      <c r="U62" s="27"/>
      <c r="V62" s="29"/>
    </row>
    <row r="63" spans="1:22" ht="15" x14ac:dyDescent="0.2">
      <c r="A63" s="17"/>
      <c r="B63" s="17"/>
      <c r="C63" s="17"/>
      <c r="D63" s="17"/>
      <c r="E63" s="17"/>
      <c r="F63" s="17"/>
      <c r="G63" s="17"/>
      <c r="H63" s="17"/>
      <c r="I63" s="17"/>
      <c r="K63" s="42">
        <f>B23</f>
        <v>11.55</v>
      </c>
      <c r="L63" s="43">
        <f>I23</f>
        <v>1.47</v>
      </c>
      <c r="M63" s="25"/>
      <c r="N63" s="25"/>
      <c r="O63" s="25"/>
      <c r="Q63" s="29"/>
      <c r="R63" s="29"/>
      <c r="S63" s="29"/>
      <c r="T63" s="29"/>
      <c r="U63" s="27"/>
      <c r="V63" s="29"/>
    </row>
    <row r="64" spans="1:22" ht="15" x14ac:dyDescent="0.2">
      <c r="A64" s="17"/>
      <c r="B64" s="17"/>
      <c r="C64" s="17"/>
      <c r="D64" s="17"/>
      <c r="E64" s="17"/>
      <c r="F64" s="17"/>
      <c r="G64" s="17"/>
      <c r="H64" s="17"/>
      <c r="I64" s="17"/>
      <c r="K64" s="42">
        <f>B30</f>
        <v>15.4</v>
      </c>
      <c r="L64" s="43">
        <f>I30</f>
        <v>2.52</v>
      </c>
      <c r="M64" s="25"/>
      <c r="N64" s="25"/>
      <c r="O64" s="25"/>
      <c r="Q64" s="29"/>
      <c r="R64" s="29"/>
      <c r="S64" s="29"/>
      <c r="T64" s="29"/>
      <c r="U64" s="27"/>
      <c r="V64" s="29"/>
    </row>
    <row r="65" spans="1:22" ht="15" x14ac:dyDescent="0.2">
      <c r="A65" s="17"/>
      <c r="B65" s="17"/>
      <c r="C65" s="17"/>
      <c r="D65" s="17"/>
      <c r="E65" s="17"/>
      <c r="F65" s="17"/>
      <c r="G65" s="17"/>
      <c r="H65" s="17"/>
      <c r="I65" s="17"/>
      <c r="K65" s="42">
        <f>B37</f>
        <v>19.25</v>
      </c>
      <c r="L65" s="43">
        <f>I37</f>
        <v>3.29</v>
      </c>
      <c r="M65" s="25"/>
      <c r="N65" s="25"/>
      <c r="O65" s="25"/>
      <c r="Q65" s="29"/>
      <c r="R65" s="29"/>
      <c r="S65" s="29"/>
      <c r="T65" s="29"/>
      <c r="U65" s="27"/>
      <c r="V65" s="29"/>
    </row>
    <row r="66" spans="1:22" ht="15" x14ac:dyDescent="0.2">
      <c r="A66" s="17"/>
      <c r="B66" s="17"/>
      <c r="C66" s="17"/>
      <c r="D66" s="17"/>
      <c r="E66" s="17"/>
      <c r="F66" s="17"/>
      <c r="G66" s="17"/>
      <c r="H66" s="17"/>
      <c r="I66" s="17"/>
      <c r="K66" s="42">
        <f>K64</f>
        <v>15.4</v>
      </c>
      <c r="L66" s="44">
        <v>3.4833333333333334</v>
      </c>
      <c r="M66" s="25"/>
      <c r="N66" s="25"/>
      <c r="O66" s="25"/>
      <c r="Q66" s="29"/>
      <c r="R66" s="29"/>
      <c r="S66" s="29"/>
      <c r="T66" s="29"/>
      <c r="U66" s="27"/>
      <c r="V66" s="29"/>
    </row>
    <row r="67" spans="1:22" ht="15" x14ac:dyDescent="0.2">
      <c r="A67" s="17"/>
      <c r="B67" s="17"/>
      <c r="C67" s="17"/>
      <c r="D67" s="17"/>
      <c r="E67" s="17"/>
      <c r="F67" s="17"/>
      <c r="G67" s="17"/>
      <c r="H67" s="17"/>
      <c r="I67" s="17"/>
      <c r="K67" s="68">
        <f>K63</f>
        <v>11.55</v>
      </c>
      <c r="L67" s="44">
        <v>3.2366666666666668</v>
      </c>
      <c r="M67" s="25"/>
      <c r="N67" s="25"/>
      <c r="O67" s="25"/>
      <c r="Q67" s="29"/>
      <c r="R67" s="29"/>
      <c r="S67" s="29"/>
      <c r="T67" s="29"/>
      <c r="U67" s="27"/>
      <c r="V67" s="29"/>
    </row>
    <row r="68" spans="1:22" x14ac:dyDescent="0.2">
      <c r="K68" s="68">
        <f>K62</f>
        <v>7.7</v>
      </c>
      <c r="L68" s="44">
        <v>2.96</v>
      </c>
      <c r="M68" s="25"/>
      <c r="N68" s="25"/>
      <c r="O68" s="25"/>
      <c r="Q68" s="29"/>
      <c r="R68" s="29"/>
      <c r="S68" s="29"/>
      <c r="T68" s="29"/>
      <c r="U68" s="27"/>
      <c r="V68" s="29"/>
    </row>
    <row r="69" spans="1:22" x14ac:dyDescent="0.2">
      <c r="K69" s="68">
        <f>K61</f>
        <v>3.85</v>
      </c>
      <c r="L69" s="44">
        <v>2.0833333333333335</v>
      </c>
      <c r="M69" s="25"/>
      <c r="N69" s="25"/>
      <c r="O69" s="25"/>
      <c r="Q69" s="29"/>
      <c r="R69" s="29"/>
      <c r="S69" s="29"/>
      <c r="T69" s="29"/>
      <c r="U69" s="27"/>
      <c r="V69" s="29"/>
    </row>
    <row r="70" spans="1:22" x14ac:dyDescent="0.2">
      <c r="K70" s="45">
        <v>0</v>
      </c>
      <c r="L70" s="44">
        <v>1.5500000000000003</v>
      </c>
      <c r="M70" s="25"/>
      <c r="N70" s="25"/>
      <c r="O70" s="25"/>
      <c r="Q70" s="29"/>
      <c r="R70" s="29"/>
      <c r="S70" s="29"/>
      <c r="T70" s="29"/>
      <c r="U70" s="27"/>
      <c r="V70" s="29"/>
    </row>
    <row r="71" spans="1:22" x14ac:dyDescent="0.2">
      <c r="K71" s="46"/>
      <c r="L71" s="44"/>
      <c r="M71" s="25"/>
      <c r="N71" s="25"/>
      <c r="O71" s="25"/>
      <c r="Q71" s="29"/>
      <c r="R71" s="29"/>
      <c r="S71" s="29"/>
      <c r="T71" s="29"/>
      <c r="U71" s="27"/>
      <c r="V71" s="29"/>
    </row>
    <row r="72" spans="1:22" x14ac:dyDescent="0.2">
      <c r="K72" s="45"/>
      <c r="L72" s="44"/>
      <c r="M72" s="25"/>
      <c r="N72" s="25"/>
      <c r="O72" s="25"/>
      <c r="Q72" s="29"/>
      <c r="R72" s="29"/>
      <c r="S72" s="29"/>
      <c r="T72" s="29"/>
      <c r="U72" s="27"/>
      <c r="V72" s="29"/>
    </row>
    <row r="73" spans="1:22" x14ac:dyDescent="0.2">
      <c r="K73" s="45"/>
      <c r="L73" s="44"/>
      <c r="M73" s="25"/>
      <c r="N73" s="25"/>
      <c r="O73" s="25"/>
      <c r="Q73" s="29"/>
      <c r="R73" s="29"/>
      <c r="S73" s="29"/>
      <c r="T73" s="29"/>
      <c r="U73" s="27"/>
      <c r="V73" s="29"/>
    </row>
    <row r="74" spans="1:22" ht="13.5" thickBot="1" x14ac:dyDescent="0.25">
      <c r="K74" s="47"/>
      <c r="L74" s="48"/>
      <c r="M74" s="49"/>
      <c r="N74" s="49"/>
      <c r="O74" s="49"/>
      <c r="P74" s="50"/>
      <c r="Q74" s="50"/>
      <c r="R74" s="50"/>
      <c r="S74" s="50"/>
      <c r="T74" s="50"/>
      <c r="U74" s="51"/>
      <c r="V74" s="29"/>
    </row>
    <row r="76" spans="1:22" ht="13.5" thickBot="1" x14ac:dyDescent="0.25"/>
    <row r="77" spans="1:22" ht="16.5" thickBot="1" x14ac:dyDescent="0.25">
      <c r="K77" s="76" t="s">
        <v>19</v>
      </c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52"/>
    </row>
    <row r="78" spans="1:22" ht="12.75" customHeight="1" x14ac:dyDescent="0.2">
      <c r="K78" s="69" t="str">
        <f>C2</f>
        <v>377 MLD</v>
      </c>
      <c r="L78" s="70"/>
      <c r="M78" s="70"/>
      <c r="N78" s="70"/>
      <c r="O78" s="70"/>
      <c r="P78" s="70"/>
      <c r="Q78" s="70"/>
      <c r="R78" s="70"/>
      <c r="S78" s="70"/>
      <c r="T78" s="70"/>
      <c r="U78" s="71"/>
      <c r="V78" s="53"/>
    </row>
    <row r="79" spans="1:22" x14ac:dyDescent="0.2">
      <c r="K79" s="18" t="s">
        <v>20</v>
      </c>
      <c r="L79" s="19">
        <f>C4</f>
        <v>2</v>
      </c>
      <c r="M79" s="20" t="str">
        <f>M52</f>
        <v>Client</v>
      </c>
      <c r="N79" s="1" t="str">
        <f>N52</f>
        <v>GVPR</v>
      </c>
      <c r="O79" s="21"/>
      <c r="P79" s="19"/>
      <c r="Q79" s="19"/>
      <c r="R79" s="20"/>
      <c r="T79" s="19"/>
      <c r="U79" s="22"/>
      <c r="V79" s="19"/>
    </row>
    <row r="80" spans="1:22" x14ac:dyDescent="0.2">
      <c r="K80" s="23" t="s">
        <v>22</v>
      </c>
      <c r="L80" s="20">
        <f>H3</f>
        <v>0</v>
      </c>
      <c r="P80" s="24"/>
      <c r="Q80" s="25"/>
      <c r="S80" s="25"/>
      <c r="T80" s="26"/>
      <c r="U80" s="27"/>
      <c r="V80" s="29"/>
    </row>
    <row r="81" spans="11:22" x14ac:dyDescent="0.2">
      <c r="K81" s="23" t="s">
        <v>23</v>
      </c>
      <c r="L81" s="28"/>
      <c r="N81" s="29"/>
      <c r="O81" s="1" t="s">
        <v>24</v>
      </c>
      <c r="P81" s="72">
        <f>H4</f>
        <v>0</v>
      </c>
      <c r="Q81" s="72"/>
      <c r="R81" s="73">
        <f>H5</f>
        <v>0</v>
      </c>
      <c r="S81" s="73"/>
      <c r="U81" s="27"/>
      <c r="V81" s="29"/>
    </row>
    <row r="82" spans="11:22" x14ac:dyDescent="0.2">
      <c r="K82" s="23" t="s">
        <v>25</v>
      </c>
      <c r="L82" s="1">
        <f>C5</f>
        <v>0</v>
      </c>
      <c r="N82" s="29"/>
      <c r="P82" s="26"/>
      <c r="Q82" s="25"/>
      <c r="R82" s="31"/>
      <c r="S82" s="25"/>
      <c r="T82" s="29"/>
      <c r="U82" s="27"/>
      <c r="V82" s="29"/>
    </row>
    <row r="83" spans="11:22" x14ac:dyDescent="0.2">
      <c r="K83" s="23" t="s">
        <v>26</v>
      </c>
      <c r="L83" s="32">
        <f>H2</f>
        <v>45259</v>
      </c>
      <c r="P83" s="26"/>
      <c r="Q83" s="33"/>
      <c r="R83" s="31"/>
      <c r="S83" s="25"/>
      <c r="T83" s="29"/>
      <c r="U83" s="27"/>
      <c r="V83" s="29"/>
    </row>
    <row r="84" spans="11:22" ht="16.5" customHeight="1" x14ac:dyDescent="0.25">
      <c r="K84" s="23"/>
      <c r="N84" s="74" t="s">
        <v>30</v>
      </c>
      <c r="O84" s="74"/>
      <c r="P84" s="74"/>
      <c r="Q84" s="74"/>
      <c r="R84" s="74"/>
      <c r="S84" s="74"/>
      <c r="T84" s="74"/>
      <c r="U84" s="27"/>
      <c r="V84" s="29"/>
    </row>
    <row r="85" spans="11:22" x14ac:dyDescent="0.2">
      <c r="K85" s="23"/>
      <c r="Q85" s="26"/>
      <c r="R85" s="31"/>
      <c r="S85" s="31"/>
      <c r="U85" s="27"/>
      <c r="V85" s="29"/>
    </row>
    <row r="86" spans="11:22" ht="27" x14ac:dyDescent="0.2">
      <c r="K86" s="54" t="s">
        <v>31</v>
      </c>
      <c r="L86" s="55" t="s">
        <v>32</v>
      </c>
      <c r="N86" s="38"/>
      <c r="O86" s="38"/>
      <c r="P86" s="38"/>
      <c r="Q86" s="29"/>
      <c r="R86" s="29"/>
      <c r="S86" s="29"/>
      <c r="T86" s="29"/>
      <c r="U86" s="39"/>
      <c r="V86" s="37"/>
    </row>
    <row r="87" spans="11:22" x14ac:dyDescent="0.2">
      <c r="K87" s="56">
        <v>0</v>
      </c>
      <c r="L87" s="44">
        <v>0</v>
      </c>
      <c r="M87" s="53"/>
      <c r="N87" s="53"/>
      <c r="O87" s="25"/>
      <c r="Q87" s="29"/>
      <c r="R87" s="29"/>
      <c r="S87" s="29"/>
      <c r="T87" s="29"/>
      <c r="U87" s="27"/>
      <c r="V87" s="29"/>
    </row>
    <row r="88" spans="11:22" x14ac:dyDescent="0.2">
      <c r="K88" s="42">
        <v>3.85</v>
      </c>
      <c r="L88" s="43">
        <v>0.14666666666666667</v>
      </c>
      <c r="M88" s="57"/>
      <c r="N88" s="57"/>
      <c r="O88" s="25"/>
      <c r="Q88" s="29"/>
      <c r="R88" s="29"/>
      <c r="S88" s="29"/>
      <c r="T88" s="29"/>
      <c r="U88" s="27"/>
      <c r="V88" s="29"/>
    </row>
    <row r="89" spans="11:22" x14ac:dyDescent="0.2">
      <c r="K89" s="42">
        <v>7.7</v>
      </c>
      <c r="L89" s="43">
        <v>0.41333333333333333</v>
      </c>
      <c r="M89" s="57"/>
      <c r="N89" s="57"/>
      <c r="O89" s="25"/>
      <c r="Q89" s="29"/>
      <c r="R89" s="29"/>
      <c r="S89" s="29"/>
      <c r="T89" s="29"/>
      <c r="U89" s="27"/>
      <c r="V89" s="29"/>
    </row>
    <row r="90" spans="11:22" x14ac:dyDescent="0.2">
      <c r="K90" s="42">
        <v>11.55</v>
      </c>
      <c r="L90" s="43">
        <v>0.78333333333333321</v>
      </c>
      <c r="M90" s="57"/>
      <c r="N90" s="57"/>
      <c r="O90" s="25"/>
      <c r="Q90" s="29"/>
      <c r="R90" s="29"/>
      <c r="S90" s="29"/>
      <c r="T90" s="29"/>
      <c r="U90" s="27"/>
      <c r="V90" s="29"/>
    </row>
    <row r="91" spans="11:22" x14ac:dyDescent="0.2">
      <c r="K91" s="42">
        <v>15.4</v>
      </c>
      <c r="L91" s="43">
        <v>1.2866666666666666</v>
      </c>
      <c r="M91" s="57"/>
      <c r="N91" s="57"/>
      <c r="O91" s="25"/>
      <c r="Q91" s="29"/>
      <c r="R91" s="29"/>
      <c r="S91" s="29"/>
      <c r="T91" s="29"/>
      <c r="U91" s="27"/>
      <c r="V91" s="29"/>
    </row>
    <row r="92" spans="11:22" x14ac:dyDescent="0.2">
      <c r="K92" s="42">
        <v>19.25</v>
      </c>
      <c r="L92" s="43">
        <v>3.2066666666666666</v>
      </c>
      <c r="M92" s="57"/>
      <c r="N92" s="57"/>
      <c r="O92" s="25"/>
      <c r="Q92" s="29"/>
      <c r="R92" s="29"/>
      <c r="S92" s="29"/>
      <c r="T92" s="29"/>
      <c r="U92" s="27"/>
      <c r="V92" s="29"/>
    </row>
    <row r="93" spans="11:22" x14ac:dyDescent="0.2">
      <c r="K93" s="42">
        <v>15.4</v>
      </c>
      <c r="L93" s="43">
        <v>3.2</v>
      </c>
      <c r="M93" s="57"/>
      <c r="N93" s="57"/>
      <c r="O93" s="25"/>
      <c r="Q93" s="29"/>
      <c r="R93" s="29"/>
      <c r="S93" s="29"/>
      <c r="T93" s="29"/>
      <c r="U93" s="27"/>
      <c r="V93" s="29"/>
    </row>
    <row r="94" spans="11:22" x14ac:dyDescent="0.2">
      <c r="K94" s="45">
        <v>11.55</v>
      </c>
      <c r="L94" s="43">
        <v>3.1166666666666667</v>
      </c>
      <c r="M94" s="57"/>
      <c r="N94" s="57"/>
      <c r="O94" s="25"/>
      <c r="Q94" s="29"/>
      <c r="R94" s="29"/>
      <c r="S94" s="29"/>
      <c r="T94" s="29"/>
      <c r="U94" s="27"/>
      <c r="V94" s="29"/>
    </row>
    <row r="95" spans="11:22" x14ac:dyDescent="0.2">
      <c r="K95" s="45">
        <v>7.7</v>
      </c>
      <c r="L95" s="43">
        <v>3.0333333333333332</v>
      </c>
      <c r="M95" s="57"/>
      <c r="N95" s="57"/>
      <c r="O95" s="25"/>
      <c r="Q95" s="29"/>
      <c r="R95" s="29"/>
      <c r="S95" s="29"/>
      <c r="T95" s="29"/>
      <c r="U95" s="27"/>
      <c r="V95" s="29"/>
    </row>
    <row r="96" spans="11:22" x14ac:dyDescent="0.2">
      <c r="K96" s="45">
        <v>3.85</v>
      </c>
      <c r="L96" s="43">
        <v>2.96</v>
      </c>
      <c r="M96" s="57"/>
      <c r="N96" s="25"/>
      <c r="O96" s="25"/>
      <c r="Q96" s="29"/>
      <c r="R96" s="29"/>
      <c r="S96" s="29"/>
      <c r="T96" s="29"/>
      <c r="U96" s="27"/>
      <c r="V96" s="29"/>
    </row>
    <row r="97" spans="8:22" x14ac:dyDescent="0.2">
      <c r="K97" s="45">
        <v>0</v>
      </c>
      <c r="L97" s="43">
        <v>2.8166666666666669</v>
      </c>
      <c r="M97" s="57"/>
      <c r="N97" s="25"/>
      <c r="O97" s="25"/>
      <c r="Q97" s="29"/>
      <c r="R97" s="29"/>
      <c r="S97" s="29"/>
      <c r="T97" s="29"/>
      <c r="U97" s="27"/>
      <c r="V97" s="29"/>
    </row>
    <row r="98" spans="8:22" x14ac:dyDescent="0.2">
      <c r="K98" s="46"/>
      <c r="L98" s="44"/>
      <c r="M98" s="57"/>
      <c r="N98" s="25"/>
      <c r="O98" s="25"/>
      <c r="Q98" s="29"/>
      <c r="R98" s="29"/>
      <c r="S98" s="29"/>
      <c r="T98" s="29"/>
      <c r="U98" s="27"/>
      <c r="V98" s="29"/>
    </row>
    <row r="99" spans="8:22" x14ac:dyDescent="0.2">
      <c r="K99" s="58"/>
      <c r="L99" s="44"/>
      <c r="M99" s="25"/>
      <c r="N99" s="25"/>
      <c r="O99" s="25"/>
      <c r="Q99" s="29"/>
      <c r="R99" s="29"/>
      <c r="S99" s="29"/>
      <c r="T99" s="29"/>
      <c r="U99" s="27"/>
      <c r="V99" s="29"/>
    </row>
    <row r="100" spans="8:22" x14ac:dyDescent="0.2">
      <c r="K100" s="59"/>
      <c r="L100" s="60"/>
      <c r="M100" s="25"/>
      <c r="N100" s="25"/>
      <c r="O100" s="25"/>
      <c r="Q100" s="29"/>
      <c r="R100" s="29"/>
      <c r="S100" s="29"/>
      <c r="T100" s="29"/>
      <c r="U100" s="27"/>
      <c r="V100" s="29"/>
    </row>
    <row r="101" spans="8:22" ht="13.5" thickBot="1" x14ac:dyDescent="0.25">
      <c r="K101" s="61"/>
      <c r="L101" s="62"/>
      <c r="M101" s="49"/>
      <c r="N101" s="49"/>
      <c r="O101" s="49"/>
      <c r="P101" s="50"/>
      <c r="Q101" s="50"/>
      <c r="R101" s="50"/>
      <c r="S101" s="50"/>
      <c r="T101" s="50"/>
      <c r="U101" s="51"/>
      <c r="V101" s="29"/>
    </row>
    <row r="102" spans="8:22" x14ac:dyDescent="0.2">
      <c r="H102" s="1">
        <v>4</v>
      </c>
      <c r="L102" s="26"/>
    </row>
    <row r="103" spans="8:22" x14ac:dyDescent="0.2">
      <c r="L103" s="26"/>
    </row>
    <row r="104" spans="8:22" ht="18.75" customHeight="1" x14ac:dyDescent="0.2"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</sheetData>
  <mergeCells count="54">
    <mergeCell ref="K78:U78"/>
    <mergeCell ref="P81:Q81"/>
    <mergeCell ref="R81:S81"/>
    <mergeCell ref="N84:T84"/>
    <mergeCell ref="K104:U104"/>
    <mergeCell ref="K77:U77"/>
    <mergeCell ref="A30:A36"/>
    <mergeCell ref="B30:B36"/>
    <mergeCell ref="C30:C36"/>
    <mergeCell ref="H30:H35"/>
    <mergeCell ref="I30:I35"/>
    <mergeCell ref="A37:A43"/>
    <mergeCell ref="B37:B43"/>
    <mergeCell ref="C37:C43"/>
    <mergeCell ref="H37:H42"/>
    <mergeCell ref="I37:I42"/>
    <mergeCell ref="K50:U50"/>
    <mergeCell ref="K51:U51"/>
    <mergeCell ref="P54:Q54"/>
    <mergeCell ref="R54:S54"/>
    <mergeCell ref="N57:T57"/>
    <mergeCell ref="A16:A22"/>
    <mergeCell ref="B16:B22"/>
    <mergeCell ref="C16:C22"/>
    <mergeCell ref="H16:H21"/>
    <mergeCell ref="I16:I21"/>
    <mergeCell ref="A23:A29"/>
    <mergeCell ref="B23:B29"/>
    <mergeCell ref="C23:C29"/>
    <mergeCell ref="H23:H28"/>
    <mergeCell ref="I23:I28"/>
    <mergeCell ref="I9:I14"/>
    <mergeCell ref="A4:B4"/>
    <mergeCell ref="C4:D4"/>
    <mergeCell ref="E4:F4"/>
    <mergeCell ref="H4:I4"/>
    <mergeCell ref="A5:B5"/>
    <mergeCell ref="C5:D5"/>
    <mergeCell ref="E5:F5"/>
    <mergeCell ref="H5:I5"/>
    <mergeCell ref="E7:G7"/>
    <mergeCell ref="A9:A15"/>
    <mergeCell ref="B9:B15"/>
    <mergeCell ref="C9:C15"/>
    <mergeCell ref="H9:H14"/>
    <mergeCell ref="A3:B3"/>
    <mergeCell ref="C3:D3"/>
    <mergeCell ref="E3:F3"/>
    <mergeCell ref="H3:I3"/>
    <mergeCell ref="A1:I1"/>
    <mergeCell ref="A2:B2"/>
    <mergeCell ref="C2:D2"/>
    <mergeCell ref="E2:F2"/>
    <mergeCell ref="H2:I2"/>
  </mergeCells>
  <pageMargins left="1.41" right="0.22" top="1" bottom="0.65" header="0.5" footer="0.5"/>
  <pageSetup scale="8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BD0F-39C6-4131-AC33-E063402921E4}">
  <dimension ref="A1:V104"/>
  <sheetViews>
    <sheetView topLeftCell="A6" zoomScaleNormal="100" workbookViewId="0">
      <selection activeCell="H37" sqref="H37:H42"/>
    </sheetView>
  </sheetViews>
  <sheetFormatPr defaultRowHeight="12.75" x14ac:dyDescent="0.2"/>
  <cols>
    <col min="1" max="2" width="10.5703125" style="1" customWidth="1"/>
    <col min="3" max="3" width="10.5703125" style="1" hidden="1" customWidth="1"/>
    <col min="4" max="7" width="10.5703125" style="1" customWidth="1"/>
    <col min="8" max="8" width="11.42578125" style="1" customWidth="1"/>
    <col min="9" max="9" width="11.7109375" style="1" customWidth="1"/>
    <col min="10" max="11" width="9.140625" style="1"/>
    <col min="12" max="12" width="10.7109375" style="1" customWidth="1"/>
    <col min="13" max="20" width="9.140625" style="1"/>
    <col min="21" max="21" width="9.42578125" style="1" customWidth="1"/>
    <col min="22" max="182" width="9.140625" style="1"/>
    <col min="183" max="183" width="10.7109375" style="1" customWidth="1"/>
    <col min="184" max="191" width="9.140625" style="1"/>
    <col min="192" max="192" width="9.42578125" style="1" customWidth="1"/>
    <col min="193" max="438" width="9.140625" style="1"/>
    <col min="439" max="439" width="10.7109375" style="1" customWidth="1"/>
    <col min="440" max="447" width="9.140625" style="1"/>
    <col min="448" max="448" width="9.42578125" style="1" customWidth="1"/>
    <col min="449" max="694" width="9.140625" style="1"/>
    <col min="695" max="695" width="10.7109375" style="1" customWidth="1"/>
    <col min="696" max="703" width="9.140625" style="1"/>
    <col min="704" max="704" width="9.42578125" style="1" customWidth="1"/>
    <col min="705" max="950" width="9.140625" style="1"/>
    <col min="951" max="951" width="10.7109375" style="1" customWidth="1"/>
    <col min="952" max="959" width="9.140625" style="1"/>
    <col min="960" max="960" width="9.42578125" style="1" customWidth="1"/>
    <col min="961" max="1206" width="9.140625" style="1"/>
    <col min="1207" max="1207" width="10.7109375" style="1" customWidth="1"/>
    <col min="1208" max="1215" width="9.140625" style="1"/>
    <col min="1216" max="1216" width="9.42578125" style="1" customWidth="1"/>
    <col min="1217" max="1462" width="9.140625" style="1"/>
    <col min="1463" max="1463" width="10.7109375" style="1" customWidth="1"/>
    <col min="1464" max="1471" width="9.140625" style="1"/>
    <col min="1472" max="1472" width="9.42578125" style="1" customWidth="1"/>
    <col min="1473" max="1718" width="9.140625" style="1"/>
    <col min="1719" max="1719" width="10.7109375" style="1" customWidth="1"/>
    <col min="1720" max="1727" width="9.140625" style="1"/>
    <col min="1728" max="1728" width="9.42578125" style="1" customWidth="1"/>
    <col min="1729" max="1974" width="9.140625" style="1"/>
    <col min="1975" max="1975" width="10.7109375" style="1" customWidth="1"/>
    <col min="1976" max="1983" width="9.140625" style="1"/>
    <col min="1984" max="1984" width="9.42578125" style="1" customWidth="1"/>
    <col min="1985" max="2230" width="9.140625" style="1"/>
    <col min="2231" max="2231" width="10.7109375" style="1" customWidth="1"/>
    <col min="2232" max="2239" width="9.140625" style="1"/>
    <col min="2240" max="2240" width="9.42578125" style="1" customWidth="1"/>
    <col min="2241" max="2486" width="9.140625" style="1"/>
    <col min="2487" max="2487" width="10.7109375" style="1" customWidth="1"/>
    <col min="2488" max="2495" width="9.140625" style="1"/>
    <col min="2496" max="2496" width="9.42578125" style="1" customWidth="1"/>
    <col min="2497" max="2742" width="9.140625" style="1"/>
    <col min="2743" max="2743" width="10.7109375" style="1" customWidth="1"/>
    <col min="2744" max="2751" width="9.140625" style="1"/>
    <col min="2752" max="2752" width="9.42578125" style="1" customWidth="1"/>
    <col min="2753" max="2998" width="9.140625" style="1"/>
    <col min="2999" max="2999" width="10.7109375" style="1" customWidth="1"/>
    <col min="3000" max="3007" width="9.140625" style="1"/>
    <col min="3008" max="3008" width="9.42578125" style="1" customWidth="1"/>
    <col min="3009" max="3254" width="9.140625" style="1"/>
    <col min="3255" max="3255" width="10.7109375" style="1" customWidth="1"/>
    <col min="3256" max="3263" width="9.140625" style="1"/>
    <col min="3264" max="3264" width="9.42578125" style="1" customWidth="1"/>
    <col min="3265" max="3510" width="9.140625" style="1"/>
    <col min="3511" max="3511" width="10.7109375" style="1" customWidth="1"/>
    <col min="3512" max="3519" width="9.140625" style="1"/>
    <col min="3520" max="3520" width="9.42578125" style="1" customWidth="1"/>
    <col min="3521" max="3766" width="9.140625" style="1"/>
    <col min="3767" max="3767" width="10.7109375" style="1" customWidth="1"/>
    <col min="3768" max="3775" width="9.140625" style="1"/>
    <col min="3776" max="3776" width="9.42578125" style="1" customWidth="1"/>
    <col min="3777" max="4022" width="9.140625" style="1"/>
    <col min="4023" max="4023" width="10.7109375" style="1" customWidth="1"/>
    <col min="4024" max="4031" width="9.140625" style="1"/>
    <col min="4032" max="4032" width="9.42578125" style="1" customWidth="1"/>
    <col min="4033" max="4278" width="9.140625" style="1"/>
    <col min="4279" max="4279" width="10.7109375" style="1" customWidth="1"/>
    <col min="4280" max="4287" width="9.140625" style="1"/>
    <col min="4288" max="4288" width="9.42578125" style="1" customWidth="1"/>
    <col min="4289" max="4534" width="9.140625" style="1"/>
    <col min="4535" max="4535" width="10.7109375" style="1" customWidth="1"/>
    <col min="4536" max="4543" width="9.140625" style="1"/>
    <col min="4544" max="4544" width="9.42578125" style="1" customWidth="1"/>
    <col min="4545" max="4790" width="9.140625" style="1"/>
    <col min="4791" max="4791" width="10.7109375" style="1" customWidth="1"/>
    <col min="4792" max="4799" width="9.140625" style="1"/>
    <col min="4800" max="4800" width="9.42578125" style="1" customWidth="1"/>
    <col min="4801" max="5046" width="9.140625" style="1"/>
    <col min="5047" max="5047" width="10.7109375" style="1" customWidth="1"/>
    <col min="5048" max="5055" width="9.140625" style="1"/>
    <col min="5056" max="5056" width="9.42578125" style="1" customWidth="1"/>
    <col min="5057" max="5302" width="9.140625" style="1"/>
    <col min="5303" max="5303" width="10.7109375" style="1" customWidth="1"/>
    <col min="5304" max="5311" width="9.140625" style="1"/>
    <col min="5312" max="5312" width="9.42578125" style="1" customWidth="1"/>
    <col min="5313" max="5558" width="9.140625" style="1"/>
    <col min="5559" max="5559" width="10.7109375" style="1" customWidth="1"/>
    <col min="5560" max="5567" width="9.140625" style="1"/>
    <col min="5568" max="5568" width="9.42578125" style="1" customWidth="1"/>
    <col min="5569" max="5814" width="9.140625" style="1"/>
    <col min="5815" max="5815" width="10.7109375" style="1" customWidth="1"/>
    <col min="5816" max="5823" width="9.140625" style="1"/>
    <col min="5824" max="5824" width="9.42578125" style="1" customWidth="1"/>
    <col min="5825" max="6070" width="9.140625" style="1"/>
    <col min="6071" max="6071" width="10.7109375" style="1" customWidth="1"/>
    <col min="6072" max="6079" width="9.140625" style="1"/>
    <col min="6080" max="6080" width="9.42578125" style="1" customWidth="1"/>
    <col min="6081" max="6326" width="9.140625" style="1"/>
    <col min="6327" max="6327" width="10.7109375" style="1" customWidth="1"/>
    <col min="6328" max="6335" width="9.140625" style="1"/>
    <col min="6336" max="6336" width="9.42578125" style="1" customWidth="1"/>
    <col min="6337" max="6582" width="9.140625" style="1"/>
    <col min="6583" max="6583" width="10.7109375" style="1" customWidth="1"/>
    <col min="6584" max="6591" width="9.140625" style="1"/>
    <col min="6592" max="6592" width="9.42578125" style="1" customWidth="1"/>
    <col min="6593" max="6838" width="9.140625" style="1"/>
    <col min="6839" max="6839" width="10.7109375" style="1" customWidth="1"/>
    <col min="6840" max="6847" width="9.140625" style="1"/>
    <col min="6848" max="6848" width="9.42578125" style="1" customWidth="1"/>
    <col min="6849" max="7094" width="9.140625" style="1"/>
    <col min="7095" max="7095" width="10.7109375" style="1" customWidth="1"/>
    <col min="7096" max="7103" width="9.140625" style="1"/>
    <col min="7104" max="7104" width="9.42578125" style="1" customWidth="1"/>
    <col min="7105" max="7350" width="9.140625" style="1"/>
    <col min="7351" max="7351" width="10.7109375" style="1" customWidth="1"/>
    <col min="7352" max="7359" width="9.140625" style="1"/>
    <col min="7360" max="7360" width="9.42578125" style="1" customWidth="1"/>
    <col min="7361" max="7606" width="9.140625" style="1"/>
    <col min="7607" max="7607" width="10.7109375" style="1" customWidth="1"/>
    <col min="7608" max="7615" width="9.140625" style="1"/>
    <col min="7616" max="7616" width="9.42578125" style="1" customWidth="1"/>
    <col min="7617" max="7862" width="9.140625" style="1"/>
    <col min="7863" max="7863" width="10.7109375" style="1" customWidth="1"/>
    <col min="7864" max="7871" width="9.140625" style="1"/>
    <col min="7872" max="7872" width="9.42578125" style="1" customWidth="1"/>
    <col min="7873" max="8118" width="9.140625" style="1"/>
    <col min="8119" max="8119" width="10.7109375" style="1" customWidth="1"/>
    <col min="8120" max="8127" width="9.140625" style="1"/>
    <col min="8128" max="8128" width="9.42578125" style="1" customWidth="1"/>
    <col min="8129" max="8374" width="9.140625" style="1"/>
    <col min="8375" max="8375" width="10.7109375" style="1" customWidth="1"/>
    <col min="8376" max="8383" width="9.140625" style="1"/>
    <col min="8384" max="8384" width="9.42578125" style="1" customWidth="1"/>
    <col min="8385" max="8630" width="9.140625" style="1"/>
    <col min="8631" max="8631" width="10.7109375" style="1" customWidth="1"/>
    <col min="8632" max="8639" width="9.140625" style="1"/>
    <col min="8640" max="8640" width="9.42578125" style="1" customWidth="1"/>
    <col min="8641" max="8886" width="9.140625" style="1"/>
    <col min="8887" max="8887" width="10.7109375" style="1" customWidth="1"/>
    <col min="8888" max="8895" width="9.140625" style="1"/>
    <col min="8896" max="8896" width="9.42578125" style="1" customWidth="1"/>
    <col min="8897" max="9142" width="9.140625" style="1"/>
    <col min="9143" max="9143" width="10.7109375" style="1" customWidth="1"/>
    <col min="9144" max="9151" width="9.140625" style="1"/>
    <col min="9152" max="9152" width="9.42578125" style="1" customWidth="1"/>
    <col min="9153" max="9398" width="9.140625" style="1"/>
    <col min="9399" max="9399" width="10.7109375" style="1" customWidth="1"/>
    <col min="9400" max="9407" width="9.140625" style="1"/>
    <col min="9408" max="9408" width="9.42578125" style="1" customWidth="1"/>
    <col min="9409" max="9654" width="9.140625" style="1"/>
    <col min="9655" max="9655" width="10.7109375" style="1" customWidth="1"/>
    <col min="9656" max="9663" width="9.140625" style="1"/>
    <col min="9664" max="9664" width="9.42578125" style="1" customWidth="1"/>
    <col min="9665" max="9910" width="9.140625" style="1"/>
    <col min="9911" max="9911" width="10.7109375" style="1" customWidth="1"/>
    <col min="9912" max="9919" width="9.140625" style="1"/>
    <col min="9920" max="9920" width="9.42578125" style="1" customWidth="1"/>
    <col min="9921" max="10166" width="9.140625" style="1"/>
    <col min="10167" max="10167" width="10.7109375" style="1" customWidth="1"/>
    <col min="10168" max="10175" width="9.140625" style="1"/>
    <col min="10176" max="10176" width="9.42578125" style="1" customWidth="1"/>
    <col min="10177" max="10422" width="9.140625" style="1"/>
    <col min="10423" max="10423" width="10.7109375" style="1" customWidth="1"/>
    <col min="10424" max="10431" width="9.140625" style="1"/>
    <col min="10432" max="10432" width="9.42578125" style="1" customWidth="1"/>
    <col min="10433" max="10678" width="9.140625" style="1"/>
    <col min="10679" max="10679" width="10.7109375" style="1" customWidth="1"/>
    <col min="10680" max="10687" width="9.140625" style="1"/>
    <col min="10688" max="10688" width="9.42578125" style="1" customWidth="1"/>
    <col min="10689" max="10934" width="9.140625" style="1"/>
    <col min="10935" max="10935" width="10.7109375" style="1" customWidth="1"/>
    <col min="10936" max="10943" width="9.140625" style="1"/>
    <col min="10944" max="10944" width="9.42578125" style="1" customWidth="1"/>
    <col min="10945" max="11190" width="9.140625" style="1"/>
    <col min="11191" max="11191" width="10.7109375" style="1" customWidth="1"/>
    <col min="11192" max="11199" width="9.140625" style="1"/>
    <col min="11200" max="11200" width="9.42578125" style="1" customWidth="1"/>
    <col min="11201" max="11446" width="9.140625" style="1"/>
    <col min="11447" max="11447" width="10.7109375" style="1" customWidth="1"/>
    <col min="11448" max="11455" width="9.140625" style="1"/>
    <col min="11456" max="11456" width="9.42578125" style="1" customWidth="1"/>
    <col min="11457" max="11702" width="9.140625" style="1"/>
    <col min="11703" max="11703" width="10.7109375" style="1" customWidth="1"/>
    <col min="11704" max="11711" width="9.140625" style="1"/>
    <col min="11712" max="11712" width="9.42578125" style="1" customWidth="1"/>
    <col min="11713" max="11958" width="9.140625" style="1"/>
    <col min="11959" max="11959" width="10.7109375" style="1" customWidth="1"/>
    <col min="11960" max="11967" width="9.140625" style="1"/>
    <col min="11968" max="11968" width="9.42578125" style="1" customWidth="1"/>
    <col min="11969" max="12214" width="9.140625" style="1"/>
    <col min="12215" max="12215" width="10.7109375" style="1" customWidth="1"/>
    <col min="12216" max="12223" width="9.140625" style="1"/>
    <col min="12224" max="12224" width="9.42578125" style="1" customWidth="1"/>
    <col min="12225" max="12470" width="9.140625" style="1"/>
    <col min="12471" max="12471" width="10.7109375" style="1" customWidth="1"/>
    <col min="12472" max="12479" width="9.140625" style="1"/>
    <col min="12480" max="12480" width="9.42578125" style="1" customWidth="1"/>
    <col min="12481" max="12726" width="9.140625" style="1"/>
    <col min="12727" max="12727" width="10.7109375" style="1" customWidth="1"/>
    <col min="12728" max="12735" width="9.140625" style="1"/>
    <col min="12736" max="12736" width="9.42578125" style="1" customWidth="1"/>
    <col min="12737" max="12982" width="9.140625" style="1"/>
    <col min="12983" max="12983" width="10.7109375" style="1" customWidth="1"/>
    <col min="12984" max="12991" width="9.140625" style="1"/>
    <col min="12992" max="12992" width="9.42578125" style="1" customWidth="1"/>
    <col min="12993" max="13238" width="9.140625" style="1"/>
    <col min="13239" max="13239" width="10.7109375" style="1" customWidth="1"/>
    <col min="13240" max="13247" width="9.140625" style="1"/>
    <col min="13248" max="13248" width="9.42578125" style="1" customWidth="1"/>
    <col min="13249" max="13494" width="9.140625" style="1"/>
    <col min="13495" max="13495" width="10.7109375" style="1" customWidth="1"/>
    <col min="13496" max="13503" width="9.140625" style="1"/>
    <col min="13504" max="13504" width="9.42578125" style="1" customWidth="1"/>
    <col min="13505" max="13750" width="9.140625" style="1"/>
    <col min="13751" max="13751" width="10.7109375" style="1" customWidth="1"/>
    <col min="13752" max="13759" width="9.140625" style="1"/>
    <col min="13760" max="13760" width="9.42578125" style="1" customWidth="1"/>
    <col min="13761" max="14006" width="9.140625" style="1"/>
    <col min="14007" max="14007" width="10.7109375" style="1" customWidth="1"/>
    <col min="14008" max="14015" width="9.140625" style="1"/>
    <col min="14016" max="14016" width="9.42578125" style="1" customWidth="1"/>
    <col min="14017" max="14262" width="9.140625" style="1"/>
    <col min="14263" max="14263" width="10.7109375" style="1" customWidth="1"/>
    <col min="14264" max="14271" width="9.140625" style="1"/>
    <col min="14272" max="14272" width="9.42578125" style="1" customWidth="1"/>
    <col min="14273" max="14518" width="9.140625" style="1"/>
    <col min="14519" max="14519" width="10.7109375" style="1" customWidth="1"/>
    <col min="14520" max="14527" width="9.140625" style="1"/>
    <col min="14528" max="14528" width="9.42578125" style="1" customWidth="1"/>
    <col min="14529" max="14774" width="9.140625" style="1"/>
    <col min="14775" max="14775" width="10.7109375" style="1" customWidth="1"/>
    <col min="14776" max="14783" width="9.140625" style="1"/>
    <col min="14784" max="14784" width="9.42578125" style="1" customWidth="1"/>
    <col min="14785" max="15030" width="9.140625" style="1"/>
    <col min="15031" max="15031" width="10.7109375" style="1" customWidth="1"/>
    <col min="15032" max="15039" width="9.140625" style="1"/>
    <col min="15040" max="15040" width="9.42578125" style="1" customWidth="1"/>
    <col min="15041" max="15286" width="9.140625" style="1"/>
    <col min="15287" max="15287" width="10.7109375" style="1" customWidth="1"/>
    <col min="15288" max="15295" width="9.140625" style="1"/>
    <col min="15296" max="15296" width="9.42578125" style="1" customWidth="1"/>
    <col min="15297" max="15542" width="9.140625" style="1"/>
    <col min="15543" max="15543" width="10.7109375" style="1" customWidth="1"/>
    <col min="15544" max="15551" width="9.140625" style="1"/>
    <col min="15552" max="15552" width="9.42578125" style="1" customWidth="1"/>
    <col min="15553" max="15798" width="9.140625" style="1"/>
    <col min="15799" max="15799" width="10.7109375" style="1" customWidth="1"/>
    <col min="15800" max="15807" width="9.140625" style="1"/>
    <col min="15808" max="15808" width="9.42578125" style="1" customWidth="1"/>
    <col min="15809" max="16054" width="9.140625" style="1"/>
    <col min="16055" max="16055" width="10.7109375" style="1" customWidth="1"/>
    <col min="16056" max="16063" width="9.140625" style="1"/>
    <col min="16064" max="16064" width="9.42578125" style="1" customWidth="1"/>
    <col min="16065" max="16384" width="9.140625" style="1"/>
  </cols>
  <sheetData>
    <row r="1" spans="1:9" ht="14.25" x14ac:dyDescent="0.2">
      <c r="A1" s="95" t="s">
        <v>35</v>
      </c>
      <c r="B1" s="96"/>
      <c r="C1" s="96"/>
      <c r="D1" s="96"/>
      <c r="E1" s="96"/>
      <c r="F1" s="96"/>
      <c r="G1" s="96"/>
      <c r="H1" s="96"/>
      <c r="I1" s="97"/>
    </row>
    <row r="2" spans="1:9" ht="15" x14ac:dyDescent="0.2">
      <c r="A2" s="91" t="s">
        <v>0</v>
      </c>
      <c r="B2" s="92"/>
      <c r="C2" s="93" t="s">
        <v>36</v>
      </c>
      <c r="D2" s="93"/>
      <c r="E2" s="92" t="s">
        <v>1</v>
      </c>
      <c r="F2" s="92"/>
      <c r="G2" s="63"/>
      <c r="H2" s="98">
        <v>45259</v>
      </c>
      <c r="I2" s="94"/>
    </row>
    <row r="3" spans="1:9" ht="15" x14ac:dyDescent="0.2">
      <c r="A3" s="91" t="s">
        <v>2</v>
      </c>
      <c r="B3" s="92"/>
      <c r="C3" s="93" t="s">
        <v>37</v>
      </c>
      <c r="D3" s="93"/>
      <c r="E3" s="92" t="s">
        <v>3</v>
      </c>
      <c r="F3" s="92"/>
      <c r="G3" s="63"/>
      <c r="H3" s="93"/>
      <c r="I3" s="94"/>
    </row>
    <row r="4" spans="1:9" ht="15" x14ac:dyDescent="0.2">
      <c r="A4" s="91" t="s">
        <v>4</v>
      </c>
      <c r="B4" s="92"/>
      <c r="C4" s="93">
        <v>2</v>
      </c>
      <c r="D4" s="93"/>
      <c r="E4" s="92"/>
      <c r="F4" s="92"/>
      <c r="G4" s="63"/>
      <c r="H4" s="93"/>
      <c r="I4" s="94"/>
    </row>
    <row r="5" spans="1:9" ht="15" x14ac:dyDescent="0.2">
      <c r="A5" s="91"/>
      <c r="B5" s="92"/>
      <c r="C5" s="93"/>
      <c r="D5" s="93"/>
      <c r="E5" s="92"/>
      <c r="F5" s="92"/>
      <c r="G5" s="63"/>
      <c r="H5" s="93"/>
      <c r="I5" s="94"/>
    </row>
    <row r="6" spans="1:9" ht="15" x14ac:dyDescent="0.2">
      <c r="A6" s="2"/>
      <c r="B6" s="3"/>
      <c r="C6" s="3"/>
      <c r="D6" s="4"/>
      <c r="E6" s="4"/>
      <c r="F6" s="4"/>
      <c r="G6" s="4"/>
      <c r="H6" s="3"/>
      <c r="I6" s="5"/>
    </row>
    <row r="7" spans="1:9" ht="42.75" x14ac:dyDescent="0.2">
      <c r="A7" s="6" t="s">
        <v>5</v>
      </c>
      <c r="B7" s="6" t="s">
        <v>6</v>
      </c>
      <c r="C7" s="6" t="s">
        <v>7</v>
      </c>
      <c r="D7" s="6" t="s">
        <v>8</v>
      </c>
      <c r="E7" s="87" t="s">
        <v>9</v>
      </c>
      <c r="F7" s="88"/>
      <c r="G7" s="89"/>
      <c r="H7" s="6" t="s">
        <v>10</v>
      </c>
      <c r="I7" s="6" t="s">
        <v>11</v>
      </c>
    </row>
    <row r="8" spans="1:9" ht="16.5" x14ac:dyDescent="0.2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34</v>
      </c>
      <c r="H8" s="7" t="s">
        <v>18</v>
      </c>
      <c r="I8" s="7" t="s">
        <v>18</v>
      </c>
    </row>
    <row r="9" spans="1:9" ht="15" x14ac:dyDescent="0.2">
      <c r="A9" s="79">
        <v>25</v>
      </c>
      <c r="B9" s="82">
        <f>A9*154/1000</f>
        <v>3.85</v>
      </c>
      <c r="C9" s="82">
        <f>B9/(0.07)</f>
        <v>54.999999999999993</v>
      </c>
      <c r="D9" s="8">
        <v>0</v>
      </c>
      <c r="E9" s="9">
        <v>0.15</v>
      </c>
      <c r="F9" s="9">
        <v>0.23</v>
      </c>
      <c r="G9" s="9">
        <v>0.08</v>
      </c>
      <c r="H9" s="82">
        <f>((E11-E9)+(F11-F9)/2)+(G11-G9)</f>
        <v>1.5049999999999999</v>
      </c>
      <c r="I9" s="85">
        <f>H9</f>
        <v>1.5049999999999999</v>
      </c>
    </row>
    <row r="10" spans="1:9" ht="15" x14ac:dyDescent="0.2">
      <c r="A10" s="80"/>
      <c r="B10" s="83"/>
      <c r="C10" s="83"/>
      <c r="D10" s="10">
        <v>15</v>
      </c>
      <c r="E10" s="11"/>
      <c r="F10" s="11"/>
      <c r="G10" s="11"/>
      <c r="H10" s="83"/>
      <c r="I10" s="86"/>
    </row>
    <row r="11" spans="1:9" ht="15" x14ac:dyDescent="0.2">
      <c r="A11" s="80"/>
      <c r="B11" s="83"/>
      <c r="C11" s="83"/>
      <c r="D11" s="10">
        <v>30</v>
      </c>
      <c r="E11" s="11">
        <v>0.8</v>
      </c>
      <c r="F11" s="11">
        <v>0.72</v>
      </c>
      <c r="G11" s="11">
        <v>0.69</v>
      </c>
      <c r="H11" s="83"/>
      <c r="I11" s="86"/>
    </row>
    <row r="12" spans="1:9" ht="15" hidden="1" customHeight="1" x14ac:dyDescent="0.2">
      <c r="A12" s="80"/>
      <c r="B12" s="83"/>
      <c r="C12" s="83"/>
      <c r="D12" s="10">
        <v>6.25</v>
      </c>
      <c r="E12" s="11"/>
      <c r="F12" s="11"/>
      <c r="G12" s="11"/>
      <c r="H12" s="83"/>
      <c r="I12" s="86"/>
    </row>
    <row r="13" spans="1:9" ht="15" hidden="1" customHeight="1" x14ac:dyDescent="0.2">
      <c r="A13" s="80"/>
      <c r="B13" s="83"/>
      <c r="C13" s="83"/>
      <c r="D13" s="10">
        <v>9</v>
      </c>
      <c r="E13" s="11"/>
      <c r="F13" s="11"/>
      <c r="G13" s="11"/>
      <c r="H13" s="83"/>
      <c r="I13" s="86"/>
    </row>
    <row r="14" spans="1:9" ht="15" hidden="1" customHeight="1" x14ac:dyDescent="0.2">
      <c r="A14" s="80"/>
      <c r="B14" s="83"/>
      <c r="C14" s="83"/>
      <c r="D14" s="12">
        <v>12</v>
      </c>
      <c r="E14" s="13"/>
      <c r="F14" s="13"/>
      <c r="G14" s="13"/>
      <c r="H14" s="84"/>
      <c r="I14" s="90"/>
    </row>
    <row r="15" spans="1:9" ht="15" hidden="1" customHeight="1" x14ac:dyDescent="0.2">
      <c r="A15" s="81"/>
      <c r="B15" s="84"/>
      <c r="C15" s="84"/>
      <c r="D15" s="10">
        <v>16</v>
      </c>
      <c r="E15" s="11">
        <v>1.59</v>
      </c>
      <c r="F15" s="11">
        <v>1.27</v>
      </c>
      <c r="G15" s="11"/>
      <c r="H15" s="64"/>
      <c r="I15" s="65"/>
    </row>
    <row r="16" spans="1:9" ht="15" x14ac:dyDescent="0.2">
      <c r="A16" s="79">
        <v>50</v>
      </c>
      <c r="B16" s="82">
        <f>A16*154/1000</f>
        <v>7.7</v>
      </c>
      <c r="C16" s="82">
        <f t="shared" ref="C16" si="0">B16/(0.07)</f>
        <v>109.99999999999999</v>
      </c>
      <c r="D16" s="8">
        <v>0</v>
      </c>
      <c r="E16" s="9">
        <f>E11</f>
        <v>0.8</v>
      </c>
      <c r="F16" s="9">
        <f>F11</f>
        <v>0.72</v>
      </c>
      <c r="G16" s="9">
        <f>G11</f>
        <v>0.69</v>
      </c>
      <c r="H16" s="82">
        <f>((E18-E16)+(F18-F16)/2)+(G18-G16)</f>
        <v>1.0900000000000001</v>
      </c>
      <c r="I16" s="82">
        <f>I9+H16</f>
        <v>2.5949999999999998</v>
      </c>
    </row>
    <row r="17" spans="1:9" ht="15" x14ac:dyDescent="0.2">
      <c r="A17" s="80"/>
      <c r="B17" s="83"/>
      <c r="C17" s="83"/>
      <c r="D17" s="10">
        <v>15</v>
      </c>
      <c r="E17" s="11"/>
      <c r="F17" s="11"/>
      <c r="G17" s="11"/>
      <c r="H17" s="83"/>
      <c r="I17" s="83"/>
    </row>
    <row r="18" spans="1:9" ht="15" x14ac:dyDescent="0.2">
      <c r="A18" s="80"/>
      <c r="B18" s="83"/>
      <c r="C18" s="83"/>
      <c r="D18" s="10">
        <v>30</v>
      </c>
      <c r="E18" s="11">
        <v>1.1000000000000001</v>
      </c>
      <c r="F18" s="11">
        <v>1.1399999999999999</v>
      </c>
      <c r="G18" s="11">
        <v>1.27</v>
      </c>
      <c r="H18" s="83"/>
      <c r="I18" s="83"/>
    </row>
    <row r="19" spans="1:9" ht="15" hidden="1" x14ac:dyDescent="0.2">
      <c r="A19" s="80"/>
      <c r="B19" s="83"/>
      <c r="C19" s="83"/>
      <c r="D19" s="10">
        <v>6.25</v>
      </c>
      <c r="E19" s="11"/>
      <c r="F19" s="11"/>
      <c r="G19" s="11"/>
      <c r="H19" s="83"/>
      <c r="I19" s="83"/>
    </row>
    <row r="20" spans="1:9" ht="15" hidden="1" x14ac:dyDescent="0.2">
      <c r="A20" s="80"/>
      <c r="B20" s="83"/>
      <c r="C20" s="83"/>
      <c r="D20" s="10">
        <v>9</v>
      </c>
      <c r="E20" s="11"/>
      <c r="F20" s="11"/>
      <c r="G20" s="11"/>
      <c r="H20" s="83"/>
      <c r="I20" s="83"/>
    </row>
    <row r="21" spans="1:9" ht="15" hidden="1" x14ac:dyDescent="0.2">
      <c r="A21" s="80"/>
      <c r="B21" s="83"/>
      <c r="C21" s="83"/>
      <c r="D21" s="12">
        <v>12</v>
      </c>
      <c r="E21" s="13"/>
      <c r="F21" s="13"/>
      <c r="G21" s="13"/>
      <c r="H21" s="84"/>
      <c r="I21" s="84"/>
    </row>
    <row r="22" spans="1:9" ht="15" hidden="1" x14ac:dyDescent="0.2">
      <c r="A22" s="81"/>
      <c r="B22" s="84"/>
      <c r="C22" s="84"/>
      <c r="D22" s="10">
        <v>16</v>
      </c>
      <c r="E22" s="11">
        <v>2.35</v>
      </c>
      <c r="F22" s="11">
        <v>1.93</v>
      </c>
      <c r="G22" s="11"/>
      <c r="H22" s="64"/>
      <c r="I22" s="64"/>
    </row>
    <row r="23" spans="1:9" ht="15" x14ac:dyDescent="0.2">
      <c r="A23" s="79">
        <v>75</v>
      </c>
      <c r="B23" s="82">
        <f>A23*154/1000</f>
        <v>11.55</v>
      </c>
      <c r="C23" s="82">
        <f t="shared" ref="C23" si="1">B23/(0.07)</f>
        <v>165</v>
      </c>
      <c r="D23" s="8">
        <v>0</v>
      </c>
      <c r="E23" s="9">
        <f>E18</f>
        <v>1.1000000000000001</v>
      </c>
      <c r="F23" s="9">
        <f>F18</f>
        <v>1.1399999999999999</v>
      </c>
      <c r="G23" s="9">
        <f>G18</f>
        <v>1.27</v>
      </c>
      <c r="H23" s="82">
        <f>((E25-E23)+(F25-F23)/2)+(G25-G23)</f>
        <v>1.2349999999999999</v>
      </c>
      <c r="I23" s="82">
        <f>I16+H23</f>
        <v>3.8299999999999996</v>
      </c>
    </row>
    <row r="24" spans="1:9" ht="15" x14ac:dyDescent="0.2">
      <c r="A24" s="80"/>
      <c r="B24" s="83"/>
      <c r="C24" s="83"/>
      <c r="D24" s="10">
        <v>15</v>
      </c>
      <c r="E24" s="11"/>
      <c r="F24" s="11"/>
      <c r="G24" s="11"/>
      <c r="H24" s="83"/>
      <c r="I24" s="83"/>
    </row>
    <row r="25" spans="1:9" ht="15" x14ac:dyDescent="0.2">
      <c r="A25" s="80"/>
      <c r="B25" s="83"/>
      <c r="C25" s="83"/>
      <c r="D25" s="10">
        <v>30</v>
      </c>
      <c r="E25" s="11">
        <v>1.69</v>
      </c>
      <c r="F25" s="11">
        <v>1.81</v>
      </c>
      <c r="G25" s="11">
        <v>1.58</v>
      </c>
      <c r="H25" s="83"/>
      <c r="I25" s="83"/>
    </row>
    <row r="26" spans="1:9" ht="15" hidden="1" customHeight="1" x14ac:dyDescent="0.2">
      <c r="A26" s="80"/>
      <c r="B26" s="83"/>
      <c r="C26" s="83"/>
      <c r="D26" s="10">
        <v>6.25</v>
      </c>
      <c r="E26" s="11"/>
      <c r="F26" s="11"/>
      <c r="G26" s="11"/>
      <c r="H26" s="83"/>
      <c r="I26" s="83"/>
    </row>
    <row r="27" spans="1:9" ht="15" hidden="1" customHeight="1" x14ac:dyDescent="0.2">
      <c r="A27" s="80"/>
      <c r="B27" s="83"/>
      <c r="C27" s="83"/>
      <c r="D27" s="10">
        <v>9</v>
      </c>
      <c r="E27" s="11"/>
      <c r="F27" s="11"/>
      <c r="G27" s="11"/>
      <c r="H27" s="83"/>
      <c r="I27" s="83"/>
    </row>
    <row r="28" spans="1:9" ht="15" hidden="1" customHeight="1" x14ac:dyDescent="0.2">
      <c r="A28" s="80"/>
      <c r="B28" s="83"/>
      <c r="C28" s="83"/>
      <c r="D28" s="12">
        <v>12</v>
      </c>
      <c r="E28" s="11"/>
      <c r="F28" s="11"/>
      <c r="G28" s="11"/>
      <c r="H28" s="84"/>
      <c r="I28" s="84"/>
    </row>
    <row r="29" spans="1:9" ht="15" hidden="1" x14ac:dyDescent="0.2">
      <c r="A29" s="81"/>
      <c r="B29" s="84"/>
      <c r="C29" s="84"/>
      <c r="D29" s="10">
        <v>16</v>
      </c>
      <c r="E29" s="11">
        <v>3.19</v>
      </c>
      <c r="F29" s="11">
        <v>2.5</v>
      </c>
      <c r="G29" s="11"/>
      <c r="H29" s="64"/>
      <c r="I29" s="64"/>
    </row>
    <row r="30" spans="1:9" ht="15" x14ac:dyDescent="0.2">
      <c r="A30" s="79">
        <v>100</v>
      </c>
      <c r="B30" s="82">
        <f>A30*154/1000</f>
        <v>15.4</v>
      </c>
      <c r="C30" s="82">
        <f t="shared" ref="C30" si="2">B30/(0.07)</f>
        <v>219.99999999999997</v>
      </c>
      <c r="D30" s="8">
        <v>0</v>
      </c>
      <c r="E30" s="9">
        <f>E25</f>
        <v>1.69</v>
      </c>
      <c r="F30" s="9">
        <f>F25</f>
        <v>1.81</v>
      </c>
      <c r="G30" s="9">
        <f>G25</f>
        <v>1.58</v>
      </c>
      <c r="H30" s="82">
        <f>((E32-E30)+(F32-F30)/2)+H32</f>
        <v>1.2050000000000001</v>
      </c>
      <c r="I30" s="82">
        <f>I23+H30</f>
        <v>5.0350000000000001</v>
      </c>
    </row>
    <row r="31" spans="1:9" ht="15" x14ac:dyDescent="0.2">
      <c r="A31" s="80"/>
      <c r="B31" s="83"/>
      <c r="C31" s="83"/>
      <c r="D31" s="10">
        <v>15</v>
      </c>
      <c r="E31" s="11"/>
      <c r="F31" s="11"/>
      <c r="G31" s="11"/>
      <c r="H31" s="83"/>
      <c r="I31" s="83"/>
    </row>
    <row r="32" spans="1:9" ht="15" x14ac:dyDescent="0.2">
      <c r="A32" s="80"/>
      <c r="B32" s="83"/>
      <c r="C32" s="83"/>
      <c r="D32" s="10">
        <v>30</v>
      </c>
      <c r="E32" s="11">
        <v>2.48</v>
      </c>
      <c r="F32" s="11">
        <v>2.64</v>
      </c>
      <c r="G32" s="11">
        <v>2.78</v>
      </c>
      <c r="H32" s="83"/>
      <c r="I32" s="83"/>
    </row>
    <row r="33" spans="1:10" ht="15" hidden="1" x14ac:dyDescent="0.2">
      <c r="A33" s="80"/>
      <c r="B33" s="83"/>
      <c r="C33" s="83"/>
      <c r="D33" s="10">
        <v>6.25</v>
      </c>
      <c r="E33" s="11"/>
      <c r="F33" s="11"/>
      <c r="G33" s="11"/>
      <c r="H33" s="83"/>
      <c r="I33" s="83"/>
    </row>
    <row r="34" spans="1:10" ht="15" hidden="1" x14ac:dyDescent="0.2">
      <c r="A34" s="80"/>
      <c r="B34" s="83"/>
      <c r="C34" s="83"/>
      <c r="D34" s="10">
        <v>9</v>
      </c>
      <c r="E34" s="11"/>
      <c r="F34" s="11"/>
      <c r="G34" s="11"/>
      <c r="H34" s="83"/>
      <c r="I34" s="83"/>
    </row>
    <row r="35" spans="1:10" ht="15" hidden="1" x14ac:dyDescent="0.2">
      <c r="A35" s="80"/>
      <c r="B35" s="83"/>
      <c r="C35" s="83"/>
      <c r="D35" s="12">
        <v>12</v>
      </c>
      <c r="E35" s="11"/>
      <c r="F35" s="11"/>
      <c r="G35" s="11"/>
      <c r="H35" s="84"/>
      <c r="I35" s="84"/>
    </row>
    <row r="36" spans="1:10" ht="15" hidden="1" x14ac:dyDescent="0.2">
      <c r="A36" s="81"/>
      <c r="B36" s="84"/>
      <c r="C36" s="84"/>
      <c r="D36" s="10">
        <v>16</v>
      </c>
      <c r="E36" s="11">
        <v>4.0999999999999996</v>
      </c>
      <c r="F36" s="11">
        <v>2.9</v>
      </c>
      <c r="G36" s="11"/>
      <c r="H36" s="64"/>
      <c r="I36" s="65"/>
    </row>
    <row r="37" spans="1:10" ht="15" x14ac:dyDescent="0.2">
      <c r="A37" s="79">
        <v>125</v>
      </c>
      <c r="B37" s="82">
        <f>A37*154/1000</f>
        <v>19.25</v>
      </c>
      <c r="C37" s="82">
        <f>B37/(0.07)</f>
        <v>275</v>
      </c>
      <c r="D37" s="8">
        <v>0</v>
      </c>
      <c r="E37" s="9">
        <f>E32</f>
        <v>2.48</v>
      </c>
      <c r="F37" s="9">
        <f>F32</f>
        <v>2.64</v>
      </c>
      <c r="G37" s="9">
        <f>G32</f>
        <v>2.78</v>
      </c>
      <c r="H37" s="82">
        <f ca="1">((E39-E37)+(F39-F37)/2)+(H39-H37)</f>
        <v>0</v>
      </c>
      <c r="I37" s="82">
        <f ca="1">I30+H37</f>
        <v>4.9000000000000004</v>
      </c>
    </row>
    <row r="38" spans="1:10" ht="15" x14ac:dyDescent="0.2">
      <c r="A38" s="80"/>
      <c r="B38" s="83"/>
      <c r="C38" s="83"/>
      <c r="D38" s="10">
        <v>15</v>
      </c>
      <c r="E38" s="11"/>
      <c r="F38" s="11"/>
      <c r="G38" s="11"/>
      <c r="H38" s="83"/>
      <c r="I38" s="83"/>
    </row>
    <row r="39" spans="1:10" ht="15" x14ac:dyDescent="0.2">
      <c r="A39" s="80"/>
      <c r="B39" s="83"/>
      <c r="C39" s="83"/>
      <c r="D39" s="10">
        <v>30</v>
      </c>
      <c r="E39" s="11">
        <v>3.41</v>
      </c>
      <c r="F39" s="11">
        <v>3.51</v>
      </c>
      <c r="G39" s="11">
        <v>3.6</v>
      </c>
      <c r="H39" s="83"/>
      <c r="I39" s="83"/>
    </row>
    <row r="40" spans="1:10" ht="15" hidden="1" customHeight="1" x14ac:dyDescent="0.2">
      <c r="A40" s="80"/>
      <c r="B40" s="83"/>
      <c r="C40" s="83"/>
      <c r="D40" s="10">
        <v>6.25</v>
      </c>
      <c r="E40" s="11"/>
      <c r="F40" s="11"/>
      <c r="G40" s="11"/>
      <c r="H40" s="83"/>
      <c r="I40" s="83"/>
      <c r="J40" s="1">
        <f>C37/2.5</f>
        <v>110</v>
      </c>
    </row>
    <row r="41" spans="1:10" ht="15" hidden="1" customHeight="1" x14ac:dyDescent="0.2">
      <c r="A41" s="80"/>
      <c r="B41" s="83"/>
      <c r="C41" s="83"/>
      <c r="D41" s="10">
        <v>9</v>
      </c>
      <c r="E41" s="11"/>
      <c r="F41" s="11"/>
      <c r="G41" s="11"/>
      <c r="H41" s="83"/>
      <c r="I41" s="83"/>
    </row>
    <row r="42" spans="1:10" ht="15" hidden="1" customHeight="1" x14ac:dyDescent="0.2">
      <c r="A42" s="80"/>
      <c r="B42" s="83"/>
      <c r="C42" s="83"/>
      <c r="D42" s="12">
        <v>12</v>
      </c>
      <c r="E42" s="11"/>
      <c r="F42" s="11"/>
      <c r="G42" s="11"/>
      <c r="H42" s="83"/>
      <c r="I42" s="83"/>
    </row>
    <row r="43" spans="1:10" ht="15" hidden="1" x14ac:dyDescent="0.2">
      <c r="A43" s="81"/>
      <c r="B43" s="84"/>
      <c r="C43" s="84"/>
      <c r="D43" s="12">
        <v>16</v>
      </c>
      <c r="E43" s="11">
        <v>4.66</v>
      </c>
      <c r="F43" s="11">
        <v>3.66</v>
      </c>
      <c r="G43" s="11"/>
      <c r="H43" s="64"/>
      <c r="I43" s="65"/>
    </row>
    <row r="44" spans="1:10" ht="15" x14ac:dyDescent="0.2">
      <c r="A44" s="14">
        <v>100</v>
      </c>
      <c r="B44" s="15">
        <f>A44*154/1000</f>
        <v>15.4</v>
      </c>
      <c r="C44" s="15">
        <f>B44/(0.07)</f>
        <v>219.99999999999997</v>
      </c>
      <c r="D44" s="14">
        <v>0</v>
      </c>
      <c r="E44" s="16">
        <v>3.32</v>
      </c>
      <c r="F44" s="16">
        <v>3.43</v>
      </c>
      <c r="G44" s="16">
        <v>3.51</v>
      </c>
      <c r="H44" s="66">
        <f>((E44-E39)+(F44-F39)+(G44-G39))/3</f>
        <v>-8.6666666666666739E-2</v>
      </c>
      <c r="I44" s="67">
        <f ca="1">I37+H44</f>
        <v>4.8133333333333335</v>
      </c>
    </row>
    <row r="45" spans="1:10" ht="15" x14ac:dyDescent="0.2">
      <c r="A45" s="14">
        <v>75</v>
      </c>
      <c r="B45" s="15">
        <f t="shared" ref="B45:B48" si="3">A45*154/1000</f>
        <v>11.55</v>
      </c>
      <c r="C45" s="15">
        <f t="shared" ref="C45:C47" si="4">B45/(0.07)</f>
        <v>165</v>
      </c>
      <c r="D45" s="14">
        <v>0</v>
      </c>
      <c r="E45" s="16">
        <v>3.24</v>
      </c>
      <c r="F45" s="16">
        <v>3.36</v>
      </c>
      <c r="G45" s="16">
        <v>3.44</v>
      </c>
      <c r="H45" s="66">
        <f>((E45-E44)+(F45-F44)+(G45-G44))/3</f>
        <v>-7.333333333333325E-2</v>
      </c>
      <c r="I45" s="67">
        <f ca="1">I44+H45</f>
        <v>4.74</v>
      </c>
    </row>
    <row r="46" spans="1:10" ht="15" x14ac:dyDescent="0.2">
      <c r="A46" s="14">
        <v>50</v>
      </c>
      <c r="B46" s="15">
        <f t="shared" si="3"/>
        <v>7.7</v>
      </c>
      <c r="C46" s="15">
        <f t="shared" si="4"/>
        <v>109.99999999999999</v>
      </c>
      <c r="D46" s="14">
        <v>0</v>
      </c>
      <c r="E46" s="16">
        <v>3.12</v>
      </c>
      <c r="F46" s="16">
        <v>3.27</v>
      </c>
      <c r="G46" s="16">
        <v>3.34</v>
      </c>
      <c r="H46" s="66">
        <f>((E46-E45)+(F46-F45)+(G46-G45))/3</f>
        <v>-0.10333333333333335</v>
      </c>
      <c r="I46" s="67">
        <f ca="1">I45+H46</f>
        <v>4.6366666666666667</v>
      </c>
    </row>
    <row r="47" spans="1:10" ht="15" x14ac:dyDescent="0.2">
      <c r="A47" s="14">
        <v>25</v>
      </c>
      <c r="B47" s="15">
        <f t="shared" ref="B47" si="5">A47*33/1000</f>
        <v>0.82499999999999996</v>
      </c>
      <c r="C47" s="15">
        <f t="shared" si="4"/>
        <v>11.785714285714285</v>
      </c>
      <c r="D47" s="12">
        <v>0</v>
      </c>
      <c r="E47" s="13">
        <v>3.01</v>
      </c>
      <c r="F47" s="13">
        <v>3.14</v>
      </c>
      <c r="G47" s="13">
        <v>3.27</v>
      </c>
      <c r="H47" s="66">
        <f>((E47-E46)+(F47-F46)+(G47-G46))/3</f>
        <v>-0.10333333333333335</v>
      </c>
      <c r="I47" s="67">
        <f ca="1">I46+H47</f>
        <v>4.5333333333333332</v>
      </c>
    </row>
    <row r="48" spans="1:10" ht="15" x14ac:dyDescent="0.2">
      <c r="A48" s="17">
        <v>0</v>
      </c>
      <c r="B48" s="15">
        <f t="shared" si="3"/>
        <v>0</v>
      </c>
      <c r="C48" s="17"/>
      <c r="D48" s="14">
        <v>0</v>
      </c>
      <c r="E48" s="13">
        <v>2.95</v>
      </c>
      <c r="F48" s="13">
        <v>3.01</v>
      </c>
      <c r="G48" s="13">
        <v>3.17</v>
      </c>
      <c r="H48" s="66">
        <f>((E48-E47)+(F48-F47)+(G48-G47))/3</f>
        <v>-9.6666666666666679E-2</v>
      </c>
      <c r="I48" s="67">
        <f ca="1">I47+H48</f>
        <v>4.4366666666666665</v>
      </c>
    </row>
    <row r="49" spans="1:22" ht="15.75" thickBot="1" x14ac:dyDescent="0.25">
      <c r="A49" s="17"/>
      <c r="B49" s="17"/>
      <c r="C49" s="17"/>
      <c r="D49" s="17"/>
      <c r="E49" s="17"/>
      <c r="F49" s="17"/>
      <c r="G49" s="17"/>
      <c r="H49" s="17"/>
      <c r="I49" s="17"/>
    </row>
    <row r="50" spans="1:22" ht="16.5" thickBot="1" x14ac:dyDescent="0.25">
      <c r="A50" s="17"/>
      <c r="B50" s="17"/>
      <c r="C50" s="17"/>
      <c r="D50" s="17"/>
      <c r="E50" s="17"/>
      <c r="F50" s="17"/>
      <c r="G50" s="17"/>
      <c r="H50" s="17"/>
      <c r="I50" s="17"/>
      <c r="K50" s="76" t="s">
        <v>19</v>
      </c>
      <c r="L50" s="77"/>
      <c r="M50" s="77"/>
      <c r="N50" s="77"/>
      <c r="O50" s="77"/>
      <c r="P50" s="77"/>
      <c r="Q50" s="77"/>
      <c r="R50" s="77"/>
      <c r="S50" s="77"/>
      <c r="T50" s="77"/>
      <c r="U50" s="78"/>
    </row>
    <row r="51" spans="1:22" ht="12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K51" s="69" t="str">
        <f>C2</f>
        <v>377 MLD</v>
      </c>
      <c r="L51" s="70"/>
      <c r="M51" s="70"/>
      <c r="N51" s="70"/>
      <c r="O51" s="70"/>
      <c r="P51" s="70"/>
      <c r="Q51" s="70"/>
      <c r="R51" s="70"/>
      <c r="S51" s="70"/>
      <c r="T51" s="70"/>
      <c r="U51" s="71"/>
    </row>
    <row r="52" spans="1:22" ht="15" x14ac:dyDescent="0.2">
      <c r="A52" s="17"/>
      <c r="B52" s="17"/>
      <c r="C52" s="17"/>
      <c r="D52" s="17"/>
      <c r="E52" s="17"/>
      <c r="F52" s="17"/>
      <c r="G52" s="17"/>
      <c r="H52" s="17"/>
      <c r="I52" s="17"/>
      <c r="K52" s="18" t="s">
        <v>20</v>
      </c>
      <c r="L52" s="19">
        <f>C4</f>
        <v>2</v>
      </c>
      <c r="M52" s="20" t="s">
        <v>21</v>
      </c>
      <c r="N52" s="1" t="str">
        <f>C3</f>
        <v>GVPR</v>
      </c>
      <c r="O52" s="21"/>
      <c r="P52" s="19"/>
      <c r="Q52" s="19"/>
      <c r="R52" s="20"/>
      <c r="T52" s="19"/>
      <c r="U52" s="22"/>
    </row>
    <row r="53" spans="1:22" ht="15" x14ac:dyDescent="0.2">
      <c r="A53" s="17"/>
      <c r="B53" s="17"/>
      <c r="C53" s="17"/>
      <c r="D53" s="17"/>
      <c r="E53" s="17"/>
      <c r="F53" s="17"/>
      <c r="G53" s="17"/>
      <c r="H53" s="17"/>
      <c r="I53" s="17"/>
      <c r="K53" s="23" t="s">
        <v>22</v>
      </c>
      <c r="L53" s="20">
        <f>H3</f>
        <v>0</v>
      </c>
      <c r="P53" s="24"/>
      <c r="Q53" s="25"/>
      <c r="S53" s="25"/>
      <c r="T53" s="26"/>
      <c r="U53" s="27"/>
    </row>
    <row r="54" spans="1:22" ht="15" x14ac:dyDescent="0.2">
      <c r="A54" s="17"/>
      <c r="B54" s="17"/>
      <c r="C54" s="17"/>
      <c r="D54" s="17"/>
      <c r="E54" s="17"/>
      <c r="F54" s="17"/>
      <c r="G54" s="17"/>
      <c r="H54" s="17"/>
      <c r="I54" s="17"/>
      <c r="K54" s="23" t="s">
        <v>23</v>
      </c>
      <c r="L54" s="28" t="s">
        <v>33</v>
      </c>
      <c r="N54" s="29"/>
      <c r="O54" s="1" t="s">
        <v>24</v>
      </c>
      <c r="P54" s="72">
        <f>H4</f>
        <v>0</v>
      </c>
      <c r="Q54" s="72"/>
      <c r="R54" s="72">
        <f>H5</f>
        <v>0</v>
      </c>
      <c r="S54" s="72"/>
      <c r="T54" s="30"/>
      <c r="U54" s="27"/>
    </row>
    <row r="55" spans="1:22" ht="12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K55" s="23" t="s">
        <v>25</v>
      </c>
      <c r="L55" s="1">
        <f>C5</f>
        <v>0</v>
      </c>
      <c r="N55" s="29"/>
      <c r="P55" s="26"/>
      <c r="Q55" s="25"/>
      <c r="R55" s="31"/>
      <c r="S55" s="25"/>
      <c r="T55" s="29"/>
      <c r="U55" s="27"/>
    </row>
    <row r="56" spans="1:22" ht="12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K56" s="23" t="s">
        <v>26</v>
      </c>
      <c r="L56" s="32">
        <f>H2</f>
        <v>45259</v>
      </c>
      <c r="P56" s="26"/>
      <c r="Q56" s="33"/>
      <c r="R56" s="31"/>
      <c r="S56" s="25"/>
      <c r="T56" s="29"/>
      <c r="U56" s="27"/>
    </row>
    <row r="57" spans="1:22" ht="16.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K57" s="23"/>
      <c r="N57" s="74" t="s">
        <v>27</v>
      </c>
      <c r="O57" s="74"/>
      <c r="P57" s="74"/>
      <c r="Q57" s="74"/>
      <c r="R57" s="74"/>
      <c r="S57" s="74"/>
      <c r="T57" s="74"/>
      <c r="U57" s="27"/>
    </row>
    <row r="58" spans="1:22" ht="15.75" x14ac:dyDescent="0.25">
      <c r="A58" s="17"/>
      <c r="B58" s="17"/>
      <c r="C58" s="17"/>
      <c r="D58" s="17"/>
      <c r="E58" s="17"/>
      <c r="F58" s="17"/>
      <c r="G58" s="17"/>
      <c r="H58" s="17"/>
      <c r="I58" s="17"/>
      <c r="K58" s="23"/>
      <c r="P58" s="34"/>
      <c r="Q58" s="31"/>
      <c r="R58" s="31"/>
      <c r="S58" s="31"/>
      <c r="U58" s="27"/>
      <c r="V58" s="29"/>
    </row>
    <row r="59" spans="1:22" ht="38.25" x14ac:dyDescent="0.2">
      <c r="A59" s="17"/>
      <c r="B59" s="17"/>
      <c r="C59" s="17"/>
      <c r="D59" s="17"/>
      <c r="E59" s="17"/>
      <c r="F59" s="17"/>
      <c r="G59" s="17"/>
      <c r="H59" s="17"/>
      <c r="I59" s="17"/>
      <c r="K59" s="35" t="s">
        <v>28</v>
      </c>
      <c r="L59" s="36" t="s">
        <v>29</v>
      </c>
      <c r="M59" s="37"/>
      <c r="N59" s="38"/>
      <c r="O59" s="38"/>
      <c r="P59" s="38"/>
      <c r="Q59" s="29"/>
      <c r="R59" s="29"/>
      <c r="S59" s="29"/>
      <c r="T59" s="29"/>
      <c r="U59" s="39"/>
      <c r="V59" s="37"/>
    </row>
    <row r="60" spans="1:22" ht="15" x14ac:dyDescent="0.2">
      <c r="A60" s="17"/>
      <c r="B60" s="17"/>
      <c r="C60" s="17"/>
      <c r="D60" s="17"/>
      <c r="E60" s="17"/>
      <c r="F60" s="17"/>
      <c r="G60" s="17"/>
      <c r="H60" s="17"/>
      <c r="I60" s="17"/>
      <c r="K60" s="40"/>
      <c r="L60" s="41"/>
      <c r="M60" s="25"/>
      <c r="N60" s="25"/>
      <c r="O60" s="25"/>
      <c r="Q60" s="29"/>
      <c r="R60" s="29"/>
      <c r="S60" s="29"/>
      <c r="T60" s="29"/>
      <c r="U60" s="27"/>
      <c r="V60" s="29"/>
    </row>
    <row r="61" spans="1:22" ht="15" x14ac:dyDescent="0.2">
      <c r="A61" s="17"/>
      <c r="B61" s="17"/>
      <c r="C61" s="17"/>
      <c r="D61" s="17"/>
      <c r="E61" s="17"/>
      <c r="F61" s="17"/>
      <c r="G61" s="17"/>
      <c r="H61" s="17"/>
      <c r="I61" s="17"/>
      <c r="K61" s="42">
        <f>B9</f>
        <v>3.85</v>
      </c>
      <c r="L61" s="43">
        <f>I9</f>
        <v>1.5049999999999999</v>
      </c>
      <c r="M61" s="25"/>
      <c r="N61" s="25"/>
      <c r="O61" s="25"/>
      <c r="Q61" s="29"/>
      <c r="R61" s="29"/>
      <c r="S61" s="29"/>
      <c r="T61" s="29"/>
      <c r="U61" s="27"/>
      <c r="V61" s="29"/>
    </row>
    <row r="62" spans="1:22" ht="15" x14ac:dyDescent="0.2">
      <c r="A62" s="17"/>
      <c r="B62" s="17"/>
      <c r="C62" s="17"/>
      <c r="D62" s="17"/>
      <c r="E62" s="17"/>
      <c r="F62" s="17"/>
      <c r="G62" s="17"/>
      <c r="H62" s="17"/>
      <c r="I62" s="17"/>
      <c r="K62" s="42">
        <f>B16</f>
        <v>7.7</v>
      </c>
      <c r="L62" s="43">
        <f>I16</f>
        <v>2.5949999999999998</v>
      </c>
      <c r="M62" s="25"/>
      <c r="N62" s="25"/>
      <c r="O62" s="25"/>
      <c r="Q62" s="29"/>
      <c r="R62" s="29"/>
      <c r="S62" s="29"/>
      <c r="T62" s="29"/>
      <c r="U62" s="27"/>
      <c r="V62" s="29"/>
    </row>
    <row r="63" spans="1:22" ht="15" x14ac:dyDescent="0.2">
      <c r="A63" s="17"/>
      <c r="B63" s="17"/>
      <c r="C63" s="17"/>
      <c r="D63" s="17"/>
      <c r="E63" s="17"/>
      <c r="F63" s="17"/>
      <c r="G63" s="17"/>
      <c r="H63" s="17"/>
      <c r="I63" s="17"/>
      <c r="K63" s="42">
        <f>B23</f>
        <v>11.55</v>
      </c>
      <c r="L63" s="43">
        <f>I23</f>
        <v>3.8299999999999996</v>
      </c>
      <c r="M63" s="25"/>
      <c r="N63" s="25"/>
      <c r="O63" s="25"/>
      <c r="Q63" s="29"/>
      <c r="R63" s="29"/>
      <c r="S63" s="29"/>
      <c r="T63" s="29"/>
      <c r="U63" s="27"/>
      <c r="V63" s="29"/>
    </row>
    <row r="64" spans="1:22" ht="15" x14ac:dyDescent="0.2">
      <c r="A64" s="17"/>
      <c r="B64" s="17"/>
      <c r="C64" s="17"/>
      <c r="D64" s="17"/>
      <c r="E64" s="17"/>
      <c r="F64" s="17"/>
      <c r="G64" s="17"/>
      <c r="H64" s="17"/>
      <c r="I64" s="17"/>
      <c r="K64" s="42">
        <f>B30</f>
        <v>15.4</v>
      </c>
      <c r="L64" s="43">
        <f>I30</f>
        <v>5.0350000000000001</v>
      </c>
      <c r="M64" s="25"/>
      <c r="N64" s="25"/>
      <c r="O64" s="25"/>
      <c r="Q64" s="29"/>
      <c r="R64" s="29"/>
      <c r="S64" s="29"/>
      <c r="T64" s="29"/>
      <c r="U64" s="27"/>
      <c r="V64" s="29"/>
    </row>
    <row r="65" spans="1:22" ht="15" x14ac:dyDescent="0.2">
      <c r="A65" s="17"/>
      <c r="B65" s="17"/>
      <c r="C65" s="17"/>
      <c r="D65" s="17"/>
      <c r="E65" s="17"/>
      <c r="F65" s="17"/>
      <c r="G65" s="17"/>
      <c r="H65" s="17"/>
      <c r="I65" s="17"/>
      <c r="K65" s="42">
        <f>B37</f>
        <v>19.25</v>
      </c>
      <c r="L65" s="43">
        <f ca="1">I37</f>
        <v>4.9000000000000004</v>
      </c>
      <c r="M65" s="25"/>
      <c r="N65" s="25"/>
      <c r="O65" s="25"/>
      <c r="Q65" s="29"/>
      <c r="R65" s="29"/>
      <c r="S65" s="29"/>
      <c r="T65" s="29"/>
      <c r="U65" s="27"/>
      <c r="V65" s="29"/>
    </row>
    <row r="66" spans="1:22" ht="15" x14ac:dyDescent="0.2">
      <c r="A66" s="17"/>
      <c r="B66" s="17"/>
      <c r="C66" s="17"/>
      <c r="D66" s="17"/>
      <c r="E66" s="17"/>
      <c r="F66" s="17"/>
      <c r="G66" s="17"/>
      <c r="H66" s="17"/>
      <c r="I66" s="17"/>
      <c r="K66" s="42">
        <f>K64</f>
        <v>15.4</v>
      </c>
      <c r="L66" s="44">
        <v>3.4833333333333334</v>
      </c>
      <c r="M66" s="25"/>
      <c r="N66" s="25"/>
      <c r="O66" s="25"/>
      <c r="Q66" s="29"/>
      <c r="R66" s="29"/>
      <c r="S66" s="29"/>
      <c r="T66" s="29"/>
      <c r="U66" s="27"/>
      <c r="V66" s="29"/>
    </row>
    <row r="67" spans="1:22" ht="15" x14ac:dyDescent="0.2">
      <c r="A67" s="17"/>
      <c r="B67" s="17"/>
      <c r="C67" s="17"/>
      <c r="D67" s="17"/>
      <c r="E67" s="17"/>
      <c r="F67" s="17"/>
      <c r="G67" s="17"/>
      <c r="H67" s="17"/>
      <c r="I67" s="17"/>
      <c r="K67" s="68">
        <f>K63</f>
        <v>11.55</v>
      </c>
      <c r="L67" s="44">
        <v>3.2366666666666668</v>
      </c>
      <c r="M67" s="25"/>
      <c r="N67" s="25"/>
      <c r="O67" s="25"/>
      <c r="Q67" s="29"/>
      <c r="R67" s="29"/>
      <c r="S67" s="29"/>
      <c r="T67" s="29"/>
      <c r="U67" s="27"/>
      <c r="V67" s="29"/>
    </row>
    <row r="68" spans="1:22" x14ac:dyDescent="0.2">
      <c r="K68" s="68">
        <f>K62</f>
        <v>7.7</v>
      </c>
      <c r="L68" s="44">
        <v>2.96</v>
      </c>
      <c r="M68" s="25"/>
      <c r="N68" s="25"/>
      <c r="O68" s="25"/>
      <c r="Q68" s="29"/>
      <c r="R68" s="29"/>
      <c r="S68" s="29"/>
      <c r="T68" s="29"/>
      <c r="U68" s="27"/>
      <c r="V68" s="29"/>
    </row>
    <row r="69" spans="1:22" x14ac:dyDescent="0.2">
      <c r="K69" s="68">
        <f>K61</f>
        <v>3.85</v>
      </c>
      <c r="L69" s="44">
        <v>2.0833333333333335</v>
      </c>
      <c r="M69" s="25"/>
      <c r="N69" s="25"/>
      <c r="O69" s="25"/>
      <c r="Q69" s="29"/>
      <c r="R69" s="29"/>
      <c r="S69" s="29"/>
      <c r="T69" s="29"/>
      <c r="U69" s="27"/>
      <c r="V69" s="29"/>
    </row>
    <row r="70" spans="1:22" x14ac:dyDescent="0.2">
      <c r="K70" s="45">
        <v>0</v>
      </c>
      <c r="L70" s="44">
        <v>1.5500000000000003</v>
      </c>
      <c r="M70" s="25"/>
      <c r="N70" s="25"/>
      <c r="O70" s="25"/>
      <c r="Q70" s="29"/>
      <c r="R70" s="29"/>
      <c r="S70" s="29"/>
      <c r="T70" s="29"/>
      <c r="U70" s="27"/>
      <c r="V70" s="29"/>
    </row>
    <row r="71" spans="1:22" x14ac:dyDescent="0.2">
      <c r="K71" s="46"/>
      <c r="L71" s="44"/>
      <c r="M71" s="25"/>
      <c r="N71" s="25"/>
      <c r="O71" s="25"/>
      <c r="Q71" s="29"/>
      <c r="R71" s="29"/>
      <c r="S71" s="29"/>
      <c r="T71" s="29"/>
      <c r="U71" s="27"/>
      <c r="V71" s="29"/>
    </row>
    <row r="72" spans="1:22" x14ac:dyDescent="0.2">
      <c r="K72" s="45"/>
      <c r="L72" s="44"/>
      <c r="M72" s="25"/>
      <c r="N72" s="25"/>
      <c r="O72" s="25"/>
      <c r="Q72" s="29"/>
      <c r="R72" s="29"/>
      <c r="S72" s="29"/>
      <c r="T72" s="29"/>
      <c r="U72" s="27"/>
      <c r="V72" s="29"/>
    </row>
    <row r="73" spans="1:22" x14ac:dyDescent="0.2">
      <c r="K73" s="45"/>
      <c r="L73" s="44"/>
      <c r="M73" s="25"/>
      <c r="N73" s="25"/>
      <c r="O73" s="25"/>
      <c r="Q73" s="29"/>
      <c r="R73" s="29"/>
      <c r="S73" s="29"/>
      <c r="T73" s="29"/>
      <c r="U73" s="27"/>
      <c r="V73" s="29"/>
    </row>
    <row r="74" spans="1:22" ht="13.5" thickBot="1" x14ac:dyDescent="0.25">
      <c r="K74" s="47"/>
      <c r="L74" s="48"/>
      <c r="M74" s="49"/>
      <c r="N74" s="49"/>
      <c r="O74" s="49"/>
      <c r="P74" s="50"/>
      <c r="Q74" s="50"/>
      <c r="R74" s="50"/>
      <c r="S74" s="50"/>
      <c r="T74" s="50"/>
      <c r="U74" s="51"/>
      <c r="V74" s="29"/>
    </row>
    <row r="76" spans="1:22" ht="13.5" thickBot="1" x14ac:dyDescent="0.25"/>
    <row r="77" spans="1:22" ht="16.5" thickBot="1" x14ac:dyDescent="0.25">
      <c r="K77" s="76" t="s">
        <v>19</v>
      </c>
      <c r="L77" s="77"/>
      <c r="M77" s="77"/>
      <c r="N77" s="77"/>
      <c r="O77" s="77"/>
      <c r="P77" s="77"/>
      <c r="Q77" s="77"/>
      <c r="R77" s="77"/>
      <c r="S77" s="77"/>
      <c r="T77" s="77"/>
      <c r="U77" s="78"/>
      <c r="V77" s="52"/>
    </row>
    <row r="78" spans="1:22" ht="12.75" customHeight="1" x14ac:dyDescent="0.2">
      <c r="K78" s="69" t="str">
        <f>C2</f>
        <v>377 MLD</v>
      </c>
      <c r="L78" s="70"/>
      <c r="M78" s="70"/>
      <c r="N78" s="70"/>
      <c r="O78" s="70"/>
      <c r="P78" s="70"/>
      <c r="Q78" s="70"/>
      <c r="R78" s="70"/>
      <c r="S78" s="70"/>
      <c r="T78" s="70"/>
      <c r="U78" s="71"/>
      <c r="V78" s="53"/>
    </row>
    <row r="79" spans="1:22" x14ac:dyDescent="0.2">
      <c r="K79" s="18" t="s">
        <v>20</v>
      </c>
      <c r="L79" s="19">
        <f>C4</f>
        <v>2</v>
      </c>
      <c r="M79" s="20" t="str">
        <f>M52</f>
        <v>Client</v>
      </c>
      <c r="N79" s="1" t="str">
        <f>N52</f>
        <v>GVPR</v>
      </c>
      <c r="O79" s="21"/>
      <c r="P79" s="19"/>
      <c r="Q79" s="19"/>
      <c r="R79" s="20"/>
      <c r="T79" s="19"/>
      <c r="U79" s="22"/>
      <c r="V79" s="19"/>
    </row>
    <row r="80" spans="1:22" x14ac:dyDescent="0.2">
      <c r="K80" s="23" t="s">
        <v>22</v>
      </c>
      <c r="L80" s="20">
        <f>H3</f>
        <v>0</v>
      </c>
      <c r="P80" s="24"/>
      <c r="Q80" s="25"/>
      <c r="S80" s="25"/>
      <c r="T80" s="26"/>
      <c r="U80" s="27"/>
      <c r="V80" s="29"/>
    </row>
    <row r="81" spans="11:22" x14ac:dyDescent="0.2">
      <c r="K81" s="23" t="s">
        <v>23</v>
      </c>
      <c r="L81" s="28"/>
      <c r="N81" s="29"/>
      <c r="O81" s="1" t="s">
        <v>24</v>
      </c>
      <c r="P81" s="72">
        <f>H4</f>
        <v>0</v>
      </c>
      <c r="Q81" s="72"/>
      <c r="R81" s="73">
        <f>H5</f>
        <v>0</v>
      </c>
      <c r="S81" s="73"/>
      <c r="U81" s="27"/>
      <c r="V81" s="29"/>
    </row>
    <row r="82" spans="11:22" x14ac:dyDescent="0.2">
      <c r="K82" s="23" t="s">
        <v>25</v>
      </c>
      <c r="L82" s="1">
        <f>C5</f>
        <v>0</v>
      </c>
      <c r="N82" s="29"/>
      <c r="P82" s="26"/>
      <c r="Q82" s="25"/>
      <c r="R82" s="31"/>
      <c r="S82" s="25"/>
      <c r="T82" s="29"/>
      <c r="U82" s="27"/>
      <c r="V82" s="29"/>
    </row>
    <row r="83" spans="11:22" x14ac:dyDescent="0.2">
      <c r="K83" s="23" t="s">
        <v>26</v>
      </c>
      <c r="L83" s="32">
        <f>H2</f>
        <v>45259</v>
      </c>
      <c r="P83" s="26"/>
      <c r="Q83" s="33"/>
      <c r="R83" s="31"/>
      <c r="S83" s="25"/>
      <c r="T83" s="29"/>
      <c r="U83" s="27"/>
      <c r="V83" s="29"/>
    </row>
    <row r="84" spans="11:22" ht="16.5" customHeight="1" x14ac:dyDescent="0.25">
      <c r="K84" s="23"/>
      <c r="N84" s="74" t="s">
        <v>30</v>
      </c>
      <c r="O84" s="74"/>
      <c r="P84" s="74"/>
      <c r="Q84" s="74"/>
      <c r="R84" s="74"/>
      <c r="S84" s="74"/>
      <c r="T84" s="74"/>
      <c r="U84" s="27"/>
      <c r="V84" s="29"/>
    </row>
    <row r="85" spans="11:22" x14ac:dyDescent="0.2">
      <c r="K85" s="23"/>
      <c r="Q85" s="26"/>
      <c r="R85" s="31"/>
      <c r="S85" s="31"/>
      <c r="U85" s="27"/>
      <c r="V85" s="29"/>
    </row>
    <row r="86" spans="11:22" ht="27" x14ac:dyDescent="0.2">
      <c r="K86" s="54" t="s">
        <v>31</v>
      </c>
      <c r="L86" s="55" t="s">
        <v>32</v>
      </c>
      <c r="N86" s="38"/>
      <c r="O86" s="38"/>
      <c r="P86" s="38"/>
      <c r="Q86" s="29"/>
      <c r="R86" s="29"/>
      <c r="S86" s="29"/>
      <c r="T86" s="29"/>
      <c r="U86" s="39"/>
      <c r="V86" s="37"/>
    </row>
    <row r="87" spans="11:22" x14ac:dyDescent="0.2">
      <c r="K87" s="56">
        <v>0</v>
      </c>
      <c r="L87" s="44">
        <v>0</v>
      </c>
      <c r="M87" s="53"/>
      <c r="N87" s="53"/>
      <c r="O87" s="25"/>
      <c r="Q87" s="29"/>
      <c r="R87" s="29"/>
      <c r="S87" s="29"/>
      <c r="T87" s="29"/>
      <c r="U87" s="27"/>
      <c r="V87" s="29"/>
    </row>
    <row r="88" spans="11:22" x14ac:dyDescent="0.2">
      <c r="K88" s="42">
        <v>3.85</v>
      </c>
      <c r="L88" s="43">
        <v>0.14666666666666667</v>
      </c>
      <c r="M88" s="57"/>
      <c r="N88" s="57"/>
      <c r="O88" s="25"/>
      <c r="Q88" s="29"/>
      <c r="R88" s="29"/>
      <c r="S88" s="29"/>
      <c r="T88" s="29"/>
      <c r="U88" s="27"/>
      <c r="V88" s="29"/>
    </row>
    <row r="89" spans="11:22" x14ac:dyDescent="0.2">
      <c r="K89" s="42">
        <v>7.7</v>
      </c>
      <c r="L89" s="43">
        <v>0.41333333333333333</v>
      </c>
      <c r="M89" s="57"/>
      <c r="N89" s="57"/>
      <c r="O89" s="25"/>
      <c r="Q89" s="29"/>
      <c r="R89" s="29"/>
      <c r="S89" s="29"/>
      <c r="T89" s="29"/>
      <c r="U89" s="27"/>
      <c r="V89" s="29"/>
    </row>
    <row r="90" spans="11:22" x14ac:dyDescent="0.2">
      <c r="K90" s="42">
        <v>11.55</v>
      </c>
      <c r="L90" s="43">
        <v>0.78333333333333321</v>
      </c>
      <c r="M90" s="57"/>
      <c r="N90" s="57"/>
      <c r="O90" s="25"/>
      <c r="Q90" s="29"/>
      <c r="R90" s="29"/>
      <c r="S90" s="29"/>
      <c r="T90" s="29"/>
      <c r="U90" s="27"/>
      <c r="V90" s="29"/>
    </row>
    <row r="91" spans="11:22" x14ac:dyDescent="0.2">
      <c r="K91" s="42">
        <v>15.4</v>
      </c>
      <c r="L91" s="43">
        <v>1.2866666666666666</v>
      </c>
      <c r="M91" s="57"/>
      <c r="N91" s="57"/>
      <c r="O91" s="25"/>
      <c r="Q91" s="29"/>
      <c r="R91" s="29"/>
      <c r="S91" s="29"/>
      <c r="T91" s="29"/>
      <c r="U91" s="27"/>
      <c r="V91" s="29"/>
    </row>
    <row r="92" spans="11:22" x14ac:dyDescent="0.2">
      <c r="K92" s="42">
        <v>19.25</v>
      </c>
      <c r="L92" s="43">
        <v>3.2066666666666666</v>
      </c>
      <c r="M92" s="57"/>
      <c r="N92" s="57"/>
      <c r="O92" s="25"/>
      <c r="Q92" s="29"/>
      <c r="R92" s="29"/>
      <c r="S92" s="29"/>
      <c r="T92" s="29"/>
      <c r="U92" s="27"/>
      <c r="V92" s="29"/>
    </row>
    <row r="93" spans="11:22" x14ac:dyDescent="0.2">
      <c r="K93" s="42">
        <v>15.4</v>
      </c>
      <c r="L93" s="43">
        <v>3.2666666666666666</v>
      </c>
      <c r="M93" s="57"/>
      <c r="N93" s="57"/>
      <c r="O93" s="25"/>
      <c r="Q93" s="29"/>
      <c r="R93" s="29"/>
      <c r="S93" s="29"/>
      <c r="T93" s="29"/>
      <c r="U93" s="27"/>
      <c r="V93" s="29"/>
    </row>
    <row r="94" spans="11:22" x14ac:dyDescent="0.2">
      <c r="K94" s="45">
        <v>11.55</v>
      </c>
      <c r="L94" s="43">
        <v>3.1933333333333334</v>
      </c>
      <c r="M94" s="57"/>
      <c r="N94" s="57"/>
      <c r="O94" s="25"/>
      <c r="Q94" s="29"/>
      <c r="R94" s="29"/>
      <c r="S94" s="29"/>
      <c r="T94" s="29"/>
      <c r="U94" s="27"/>
      <c r="V94" s="29"/>
    </row>
    <row r="95" spans="11:22" x14ac:dyDescent="0.2">
      <c r="K95" s="45">
        <v>7.7</v>
      </c>
      <c r="L95" s="43">
        <v>3.09</v>
      </c>
      <c r="M95" s="57"/>
      <c r="N95" s="57"/>
      <c r="O95" s="25"/>
      <c r="Q95" s="29"/>
      <c r="R95" s="29"/>
      <c r="S95" s="29"/>
      <c r="T95" s="29"/>
      <c r="U95" s="27"/>
      <c r="V95" s="29"/>
    </row>
    <row r="96" spans="11:22" x14ac:dyDescent="0.2">
      <c r="K96" s="45">
        <v>3.85</v>
      </c>
      <c r="L96" s="43">
        <v>2.9866666666666664</v>
      </c>
      <c r="M96" s="57"/>
      <c r="N96" s="25"/>
      <c r="O96" s="25"/>
      <c r="Q96" s="29"/>
      <c r="R96" s="29"/>
      <c r="S96" s="29"/>
      <c r="T96" s="29"/>
      <c r="U96" s="27"/>
      <c r="V96" s="29"/>
    </row>
    <row r="97" spans="8:22" x14ac:dyDescent="0.2">
      <c r="K97" s="45">
        <v>0</v>
      </c>
      <c r="L97" s="43">
        <v>2.8899999999999997</v>
      </c>
      <c r="M97" s="57"/>
      <c r="N97" s="25"/>
      <c r="O97" s="25"/>
      <c r="Q97" s="29"/>
      <c r="R97" s="29"/>
      <c r="S97" s="29"/>
      <c r="T97" s="29"/>
      <c r="U97" s="27"/>
      <c r="V97" s="29"/>
    </row>
    <row r="98" spans="8:22" x14ac:dyDescent="0.2">
      <c r="K98" s="46"/>
      <c r="L98" s="44"/>
      <c r="M98" s="57"/>
      <c r="N98" s="25"/>
      <c r="O98" s="25"/>
      <c r="Q98" s="29"/>
      <c r="R98" s="29"/>
      <c r="S98" s="29"/>
      <c r="T98" s="29"/>
      <c r="U98" s="27"/>
      <c r="V98" s="29"/>
    </row>
    <row r="99" spans="8:22" x14ac:dyDescent="0.2">
      <c r="K99" s="58"/>
      <c r="L99" s="44"/>
      <c r="M99" s="25"/>
      <c r="N99" s="25"/>
      <c r="O99" s="25"/>
      <c r="Q99" s="29"/>
      <c r="R99" s="29"/>
      <c r="S99" s="29"/>
      <c r="T99" s="29"/>
      <c r="U99" s="27"/>
      <c r="V99" s="29"/>
    </row>
    <row r="100" spans="8:22" x14ac:dyDescent="0.2">
      <c r="K100" s="59"/>
      <c r="L100" s="60"/>
      <c r="M100" s="25"/>
      <c r="N100" s="25"/>
      <c r="O100" s="25"/>
      <c r="Q100" s="29"/>
      <c r="R100" s="29"/>
      <c r="S100" s="29"/>
      <c r="T100" s="29"/>
      <c r="U100" s="27"/>
      <c r="V100" s="29"/>
    </row>
    <row r="101" spans="8:22" ht="13.5" thickBot="1" x14ac:dyDescent="0.25">
      <c r="K101" s="61"/>
      <c r="L101" s="62"/>
      <c r="M101" s="49"/>
      <c r="N101" s="49"/>
      <c r="O101" s="49"/>
      <c r="P101" s="50"/>
      <c r="Q101" s="50"/>
      <c r="R101" s="50"/>
      <c r="S101" s="50"/>
      <c r="T101" s="50"/>
      <c r="U101" s="51"/>
      <c r="V101" s="29"/>
    </row>
    <row r="102" spans="8:22" x14ac:dyDescent="0.2">
      <c r="H102" s="1">
        <v>4</v>
      </c>
      <c r="L102" s="26"/>
    </row>
    <row r="103" spans="8:22" x14ac:dyDescent="0.2">
      <c r="L103" s="26"/>
    </row>
    <row r="104" spans="8:22" ht="18.75" customHeight="1" x14ac:dyDescent="0.2"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</sheetData>
  <mergeCells count="54">
    <mergeCell ref="K78:U78"/>
    <mergeCell ref="P81:Q81"/>
    <mergeCell ref="R81:S81"/>
    <mergeCell ref="N84:T84"/>
    <mergeCell ref="K104:U104"/>
    <mergeCell ref="K77:U77"/>
    <mergeCell ref="A30:A36"/>
    <mergeCell ref="B30:B36"/>
    <mergeCell ref="C30:C36"/>
    <mergeCell ref="H30:H35"/>
    <mergeCell ref="I30:I35"/>
    <mergeCell ref="A37:A43"/>
    <mergeCell ref="B37:B43"/>
    <mergeCell ref="C37:C43"/>
    <mergeCell ref="H37:H42"/>
    <mergeCell ref="I37:I42"/>
    <mergeCell ref="K50:U50"/>
    <mergeCell ref="K51:U51"/>
    <mergeCell ref="P54:Q54"/>
    <mergeCell ref="R54:S54"/>
    <mergeCell ref="N57:T57"/>
    <mergeCell ref="A16:A22"/>
    <mergeCell ref="B16:B22"/>
    <mergeCell ref="C16:C22"/>
    <mergeCell ref="H16:H21"/>
    <mergeCell ref="I16:I21"/>
    <mergeCell ref="A23:A29"/>
    <mergeCell ref="B23:B29"/>
    <mergeCell ref="C23:C29"/>
    <mergeCell ref="H23:H28"/>
    <mergeCell ref="I23:I28"/>
    <mergeCell ref="I9:I14"/>
    <mergeCell ref="A4:B4"/>
    <mergeCell ref="C4:D4"/>
    <mergeCell ref="E4:F4"/>
    <mergeCell ref="H4:I4"/>
    <mergeCell ref="A5:B5"/>
    <mergeCell ref="C5:D5"/>
    <mergeCell ref="E5:F5"/>
    <mergeCell ref="H5:I5"/>
    <mergeCell ref="E7:G7"/>
    <mergeCell ref="A9:A15"/>
    <mergeCell ref="B9:B15"/>
    <mergeCell ref="C9:C15"/>
    <mergeCell ref="H9:H14"/>
    <mergeCell ref="A3:B3"/>
    <mergeCell ref="C3:D3"/>
    <mergeCell ref="E3:F3"/>
    <mergeCell ref="H3:I3"/>
    <mergeCell ref="A1:I1"/>
    <mergeCell ref="A2:B2"/>
    <mergeCell ref="C2:D2"/>
    <mergeCell ref="E2:F2"/>
    <mergeCell ref="H2:I2"/>
  </mergeCells>
  <pageMargins left="1.41" right="0.22" top="1" bottom="0.65" header="0.5" footer="0.5"/>
  <pageSetup scale="8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74B3-9645-46F4-AADB-C83E4F98D485}">
  <dimension ref="A1:V100"/>
  <sheetViews>
    <sheetView tabSelected="1" topLeftCell="A11" zoomScale="85" zoomScaleNormal="85" workbookViewId="0">
      <selection activeCell="G49" sqref="G49"/>
    </sheetView>
  </sheetViews>
  <sheetFormatPr defaultRowHeight="12.75" x14ac:dyDescent="0.2"/>
  <cols>
    <col min="1" max="2" width="10.5703125" style="1" customWidth="1"/>
    <col min="3" max="3" width="10.5703125" style="1" hidden="1" customWidth="1"/>
    <col min="4" max="6" width="10.5703125" style="1" customWidth="1"/>
    <col min="7" max="7" width="61.7109375" style="1" customWidth="1"/>
    <col min="8" max="8" width="11.42578125" style="1" customWidth="1"/>
    <col min="9" max="9" width="11.7109375" style="1" customWidth="1"/>
    <col min="10" max="11" width="9.140625" style="1"/>
    <col min="12" max="12" width="10.7109375" style="1" customWidth="1"/>
    <col min="13" max="20" width="9.140625" style="1"/>
    <col min="21" max="21" width="9.42578125" style="1" customWidth="1"/>
    <col min="22" max="182" width="9.140625" style="1"/>
    <col min="183" max="183" width="10.7109375" style="1" customWidth="1"/>
    <col min="184" max="191" width="9.140625" style="1"/>
    <col min="192" max="192" width="9.42578125" style="1" customWidth="1"/>
    <col min="193" max="438" width="9.140625" style="1"/>
    <col min="439" max="439" width="10.7109375" style="1" customWidth="1"/>
    <col min="440" max="447" width="9.140625" style="1"/>
    <col min="448" max="448" width="9.42578125" style="1" customWidth="1"/>
    <col min="449" max="694" width="9.140625" style="1"/>
    <col min="695" max="695" width="10.7109375" style="1" customWidth="1"/>
    <col min="696" max="703" width="9.140625" style="1"/>
    <col min="704" max="704" width="9.42578125" style="1" customWidth="1"/>
    <col min="705" max="950" width="9.140625" style="1"/>
    <col min="951" max="951" width="10.7109375" style="1" customWidth="1"/>
    <col min="952" max="959" width="9.140625" style="1"/>
    <col min="960" max="960" width="9.42578125" style="1" customWidth="1"/>
    <col min="961" max="1206" width="9.140625" style="1"/>
    <col min="1207" max="1207" width="10.7109375" style="1" customWidth="1"/>
    <col min="1208" max="1215" width="9.140625" style="1"/>
    <col min="1216" max="1216" width="9.42578125" style="1" customWidth="1"/>
    <col min="1217" max="1462" width="9.140625" style="1"/>
    <col min="1463" max="1463" width="10.7109375" style="1" customWidth="1"/>
    <col min="1464" max="1471" width="9.140625" style="1"/>
    <col min="1472" max="1472" width="9.42578125" style="1" customWidth="1"/>
    <col min="1473" max="1718" width="9.140625" style="1"/>
    <col min="1719" max="1719" width="10.7109375" style="1" customWidth="1"/>
    <col min="1720" max="1727" width="9.140625" style="1"/>
    <col min="1728" max="1728" width="9.42578125" style="1" customWidth="1"/>
    <col min="1729" max="1974" width="9.140625" style="1"/>
    <col min="1975" max="1975" width="10.7109375" style="1" customWidth="1"/>
    <col min="1976" max="1983" width="9.140625" style="1"/>
    <col min="1984" max="1984" width="9.42578125" style="1" customWidth="1"/>
    <col min="1985" max="2230" width="9.140625" style="1"/>
    <col min="2231" max="2231" width="10.7109375" style="1" customWidth="1"/>
    <col min="2232" max="2239" width="9.140625" style="1"/>
    <col min="2240" max="2240" width="9.42578125" style="1" customWidth="1"/>
    <col min="2241" max="2486" width="9.140625" style="1"/>
    <col min="2487" max="2487" width="10.7109375" style="1" customWidth="1"/>
    <col min="2488" max="2495" width="9.140625" style="1"/>
    <col min="2496" max="2496" width="9.42578125" style="1" customWidth="1"/>
    <col min="2497" max="2742" width="9.140625" style="1"/>
    <col min="2743" max="2743" width="10.7109375" style="1" customWidth="1"/>
    <col min="2744" max="2751" width="9.140625" style="1"/>
    <col min="2752" max="2752" width="9.42578125" style="1" customWidth="1"/>
    <col min="2753" max="2998" width="9.140625" style="1"/>
    <col min="2999" max="2999" width="10.7109375" style="1" customWidth="1"/>
    <col min="3000" max="3007" width="9.140625" style="1"/>
    <col min="3008" max="3008" width="9.42578125" style="1" customWidth="1"/>
    <col min="3009" max="3254" width="9.140625" style="1"/>
    <col min="3255" max="3255" width="10.7109375" style="1" customWidth="1"/>
    <col min="3256" max="3263" width="9.140625" style="1"/>
    <col min="3264" max="3264" width="9.42578125" style="1" customWidth="1"/>
    <col min="3265" max="3510" width="9.140625" style="1"/>
    <col min="3511" max="3511" width="10.7109375" style="1" customWidth="1"/>
    <col min="3512" max="3519" width="9.140625" style="1"/>
    <col min="3520" max="3520" width="9.42578125" style="1" customWidth="1"/>
    <col min="3521" max="3766" width="9.140625" style="1"/>
    <col min="3767" max="3767" width="10.7109375" style="1" customWidth="1"/>
    <col min="3768" max="3775" width="9.140625" style="1"/>
    <col min="3776" max="3776" width="9.42578125" style="1" customWidth="1"/>
    <col min="3777" max="4022" width="9.140625" style="1"/>
    <col min="4023" max="4023" width="10.7109375" style="1" customWidth="1"/>
    <col min="4024" max="4031" width="9.140625" style="1"/>
    <col min="4032" max="4032" width="9.42578125" style="1" customWidth="1"/>
    <col min="4033" max="4278" width="9.140625" style="1"/>
    <col min="4279" max="4279" width="10.7109375" style="1" customWidth="1"/>
    <col min="4280" max="4287" width="9.140625" style="1"/>
    <col min="4288" max="4288" width="9.42578125" style="1" customWidth="1"/>
    <col min="4289" max="4534" width="9.140625" style="1"/>
    <col min="4535" max="4535" width="10.7109375" style="1" customWidth="1"/>
    <col min="4536" max="4543" width="9.140625" style="1"/>
    <col min="4544" max="4544" width="9.42578125" style="1" customWidth="1"/>
    <col min="4545" max="4790" width="9.140625" style="1"/>
    <col min="4791" max="4791" width="10.7109375" style="1" customWidth="1"/>
    <col min="4792" max="4799" width="9.140625" style="1"/>
    <col min="4800" max="4800" width="9.42578125" style="1" customWidth="1"/>
    <col min="4801" max="5046" width="9.140625" style="1"/>
    <col min="5047" max="5047" width="10.7109375" style="1" customWidth="1"/>
    <col min="5048" max="5055" width="9.140625" style="1"/>
    <col min="5056" max="5056" width="9.42578125" style="1" customWidth="1"/>
    <col min="5057" max="5302" width="9.140625" style="1"/>
    <col min="5303" max="5303" width="10.7109375" style="1" customWidth="1"/>
    <col min="5304" max="5311" width="9.140625" style="1"/>
    <col min="5312" max="5312" width="9.42578125" style="1" customWidth="1"/>
    <col min="5313" max="5558" width="9.140625" style="1"/>
    <col min="5559" max="5559" width="10.7109375" style="1" customWidth="1"/>
    <col min="5560" max="5567" width="9.140625" style="1"/>
    <col min="5568" max="5568" width="9.42578125" style="1" customWidth="1"/>
    <col min="5569" max="5814" width="9.140625" style="1"/>
    <col min="5815" max="5815" width="10.7109375" style="1" customWidth="1"/>
    <col min="5816" max="5823" width="9.140625" style="1"/>
    <col min="5824" max="5824" width="9.42578125" style="1" customWidth="1"/>
    <col min="5825" max="6070" width="9.140625" style="1"/>
    <col min="6071" max="6071" width="10.7109375" style="1" customWidth="1"/>
    <col min="6072" max="6079" width="9.140625" style="1"/>
    <col min="6080" max="6080" width="9.42578125" style="1" customWidth="1"/>
    <col min="6081" max="6326" width="9.140625" style="1"/>
    <col min="6327" max="6327" width="10.7109375" style="1" customWidth="1"/>
    <col min="6328" max="6335" width="9.140625" style="1"/>
    <col min="6336" max="6336" width="9.42578125" style="1" customWidth="1"/>
    <col min="6337" max="6582" width="9.140625" style="1"/>
    <col min="6583" max="6583" width="10.7109375" style="1" customWidth="1"/>
    <col min="6584" max="6591" width="9.140625" style="1"/>
    <col min="6592" max="6592" width="9.42578125" style="1" customWidth="1"/>
    <col min="6593" max="6838" width="9.140625" style="1"/>
    <col min="6839" max="6839" width="10.7109375" style="1" customWidth="1"/>
    <col min="6840" max="6847" width="9.140625" style="1"/>
    <col min="6848" max="6848" width="9.42578125" style="1" customWidth="1"/>
    <col min="6849" max="7094" width="9.140625" style="1"/>
    <col min="7095" max="7095" width="10.7109375" style="1" customWidth="1"/>
    <col min="7096" max="7103" width="9.140625" style="1"/>
    <col min="7104" max="7104" width="9.42578125" style="1" customWidth="1"/>
    <col min="7105" max="7350" width="9.140625" style="1"/>
    <col min="7351" max="7351" width="10.7109375" style="1" customWidth="1"/>
    <col min="7352" max="7359" width="9.140625" style="1"/>
    <col min="7360" max="7360" width="9.42578125" style="1" customWidth="1"/>
    <col min="7361" max="7606" width="9.140625" style="1"/>
    <col min="7607" max="7607" width="10.7109375" style="1" customWidth="1"/>
    <col min="7608" max="7615" width="9.140625" style="1"/>
    <col min="7616" max="7616" width="9.42578125" style="1" customWidth="1"/>
    <col min="7617" max="7862" width="9.140625" style="1"/>
    <col min="7863" max="7863" width="10.7109375" style="1" customWidth="1"/>
    <col min="7864" max="7871" width="9.140625" style="1"/>
    <col min="7872" max="7872" width="9.42578125" style="1" customWidth="1"/>
    <col min="7873" max="8118" width="9.140625" style="1"/>
    <col min="8119" max="8119" width="10.7109375" style="1" customWidth="1"/>
    <col min="8120" max="8127" width="9.140625" style="1"/>
    <col min="8128" max="8128" width="9.42578125" style="1" customWidth="1"/>
    <col min="8129" max="8374" width="9.140625" style="1"/>
    <col min="8375" max="8375" width="10.7109375" style="1" customWidth="1"/>
    <col min="8376" max="8383" width="9.140625" style="1"/>
    <col min="8384" max="8384" width="9.42578125" style="1" customWidth="1"/>
    <col min="8385" max="8630" width="9.140625" style="1"/>
    <col min="8631" max="8631" width="10.7109375" style="1" customWidth="1"/>
    <col min="8632" max="8639" width="9.140625" style="1"/>
    <col min="8640" max="8640" width="9.42578125" style="1" customWidth="1"/>
    <col min="8641" max="8886" width="9.140625" style="1"/>
    <col min="8887" max="8887" width="10.7109375" style="1" customWidth="1"/>
    <col min="8888" max="8895" width="9.140625" style="1"/>
    <col min="8896" max="8896" width="9.42578125" style="1" customWidth="1"/>
    <col min="8897" max="9142" width="9.140625" style="1"/>
    <col min="9143" max="9143" width="10.7109375" style="1" customWidth="1"/>
    <col min="9144" max="9151" width="9.140625" style="1"/>
    <col min="9152" max="9152" width="9.42578125" style="1" customWidth="1"/>
    <col min="9153" max="9398" width="9.140625" style="1"/>
    <col min="9399" max="9399" width="10.7109375" style="1" customWidth="1"/>
    <col min="9400" max="9407" width="9.140625" style="1"/>
    <col min="9408" max="9408" width="9.42578125" style="1" customWidth="1"/>
    <col min="9409" max="9654" width="9.140625" style="1"/>
    <col min="9655" max="9655" width="10.7109375" style="1" customWidth="1"/>
    <col min="9656" max="9663" width="9.140625" style="1"/>
    <col min="9664" max="9664" width="9.42578125" style="1" customWidth="1"/>
    <col min="9665" max="9910" width="9.140625" style="1"/>
    <col min="9911" max="9911" width="10.7109375" style="1" customWidth="1"/>
    <col min="9912" max="9919" width="9.140625" style="1"/>
    <col min="9920" max="9920" width="9.42578125" style="1" customWidth="1"/>
    <col min="9921" max="10166" width="9.140625" style="1"/>
    <col min="10167" max="10167" width="10.7109375" style="1" customWidth="1"/>
    <col min="10168" max="10175" width="9.140625" style="1"/>
    <col min="10176" max="10176" width="9.42578125" style="1" customWidth="1"/>
    <col min="10177" max="10422" width="9.140625" style="1"/>
    <col min="10423" max="10423" width="10.7109375" style="1" customWidth="1"/>
    <col min="10424" max="10431" width="9.140625" style="1"/>
    <col min="10432" max="10432" width="9.42578125" style="1" customWidth="1"/>
    <col min="10433" max="10678" width="9.140625" style="1"/>
    <col min="10679" max="10679" width="10.7109375" style="1" customWidth="1"/>
    <col min="10680" max="10687" width="9.140625" style="1"/>
    <col min="10688" max="10688" width="9.42578125" style="1" customWidth="1"/>
    <col min="10689" max="10934" width="9.140625" style="1"/>
    <col min="10935" max="10935" width="10.7109375" style="1" customWidth="1"/>
    <col min="10936" max="10943" width="9.140625" style="1"/>
    <col min="10944" max="10944" width="9.42578125" style="1" customWidth="1"/>
    <col min="10945" max="11190" width="9.140625" style="1"/>
    <col min="11191" max="11191" width="10.7109375" style="1" customWidth="1"/>
    <col min="11192" max="11199" width="9.140625" style="1"/>
    <col min="11200" max="11200" width="9.42578125" style="1" customWidth="1"/>
    <col min="11201" max="11446" width="9.140625" style="1"/>
    <col min="11447" max="11447" width="10.7109375" style="1" customWidth="1"/>
    <col min="11448" max="11455" width="9.140625" style="1"/>
    <col min="11456" max="11456" width="9.42578125" style="1" customWidth="1"/>
    <col min="11457" max="11702" width="9.140625" style="1"/>
    <col min="11703" max="11703" width="10.7109375" style="1" customWidth="1"/>
    <col min="11704" max="11711" width="9.140625" style="1"/>
    <col min="11712" max="11712" width="9.42578125" style="1" customWidth="1"/>
    <col min="11713" max="11958" width="9.140625" style="1"/>
    <col min="11959" max="11959" width="10.7109375" style="1" customWidth="1"/>
    <col min="11960" max="11967" width="9.140625" style="1"/>
    <col min="11968" max="11968" width="9.42578125" style="1" customWidth="1"/>
    <col min="11969" max="12214" width="9.140625" style="1"/>
    <col min="12215" max="12215" width="10.7109375" style="1" customWidth="1"/>
    <col min="12216" max="12223" width="9.140625" style="1"/>
    <col min="12224" max="12224" width="9.42578125" style="1" customWidth="1"/>
    <col min="12225" max="12470" width="9.140625" style="1"/>
    <col min="12471" max="12471" width="10.7109375" style="1" customWidth="1"/>
    <col min="12472" max="12479" width="9.140625" style="1"/>
    <col min="12480" max="12480" width="9.42578125" style="1" customWidth="1"/>
    <col min="12481" max="12726" width="9.140625" style="1"/>
    <col min="12727" max="12727" width="10.7109375" style="1" customWidth="1"/>
    <col min="12728" max="12735" width="9.140625" style="1"/>
    <col min="12736" max="12736" width="9.42578125" style="1" customWidth="1"/>
    <col min="12737" max="12982" width="9.140625" style="1"/>
    <col min="12983" max="12983" width="10.7109375" style="1" customWidth="1"/>
    <col min="12984" max="12991" width="9.140625" style="1"/>
    <col min="12992" max="12992" width="9.42578125" style="1" customWidth="1"/>
    <col min="12993" max="13238" width="9.140625" style="1"/>
    <col min="13239" max="13239" width="10.7109375" style="1" customWidth="1"/>
    <col min="13240" max="13247" width="9.140625" style="1"/>
    <col min="13248" max="13248" width="9.42578125" style="1" customWidth="1"/>
    <col min="13249" max="13494" width="9.140625" style="1"/>
    <col min="13495" max="13495" width="10.7109375" style="1" customWidth="1"/>
    <col min="13496" max="13503" width="9.140625" style="1"/>
    <col min="13504" max="13504" width="9.42578125" style="1" customWidth="1"/>
    <col min="13505" max="13750" width="9.140625" style="1"/>
    <col min="13751" max="13751" width="10.7109375" style="1" customWidth="1"/>
    <col min="13752" max="13759" width="9.140625" style="1"/>
    <col min="13760" max="13760" width="9.42578125" style="1" customWidth="1"/>
    <col min="13761" max="14006" width="9.140625" style="1"/>
    <col min="14007" max="14007" width="10.7109375" style="1" customWidth="1"/>
    <col min="14008" max="14015" width="9.140625" style="1"/>
    <col min="14016" max="14016" width="9.42578125" style="1" customWidth="1"/>
    <col min="14017" max="14262" width="9.140625" style="1"/>
    <col min="14263" max="14263" width="10.7109375" style="1" customWidth="1"/>
    <col min="14264" max="14271" width="9.140625" style="1"/>
    <col min="14272" max="14272" width="9.42578125" style="1" customWidth="1"/>
    <col min="14273" max="14518" width="9.140625" style="1"/>
    <col min="14519" max="14519" width="10.7109375" style="1" customWidth="1"/>
    <col min="14520" max="14527" width="9.140625" style="1"/>
    <col min="14528" max="14528" width="9.42578125" style="1" customWidth="1"/>
    <col min="14529" max="14774" width="9.140625" style="1"/>
    <col min="14775" max="14775" width="10.7109375" style="1" customWidth="1"/>
    <col min="14776" max="14783" width="9.140625" style="1"/>
    <col min="14784" max="14784" width="9.42578125" style="1" customWidth="1"/>
    <col min="14785" max="15030" width="9.140625" style="1"/>
    <col min="15031" max="15031" width="10.7109375" style="1" customWidth="1"/>
    <col min="15032" max="15039" width="9.140625" style="1"/>
    <col min="15040" max="15040" width="9.42578125" style="1" customWidth="1"/>
    <col min="15041" max="15286" width="9.140625" style="1"/>
    <col min="15287" max="15287" width="10.7109375" style="1" customWidth="1"/>
    <col min="15288" max="15295" width="9.140625" style="1"/>
    <col min="15296" max="15296" width="9.42578125" style="1" customWidth="1"/>
    <col min="15297" max="15542" width="9.140625" style="1"/>
    <col min="15543" max="15543" width="10.7109375" style="1" customWidth="1"/>
    <col min="15544" max="15551" width="9.140625" style="1"/>
    <col min="15552" max="15552" width="9.42578125" style="1" customWidth="1"/>
    <col min="15553" max="15798" width="9.140625" style="1"/>
    <col min="15799" max="15799" width="10.7109375" style="1" customWidth="1"/>
    <col min="15800" max="15807" width="9.140625" style="1"/>
    <col min="15808" max="15808" width="9.42578125" style="1" customWidth="1"/>
    <col min="15809" max="16054" width="9.140625" style="1"/>
    <col min="16055" max="16055" width="10.7109375" style="1" customWidth="1"/>
    <col min="16056" max="16063" width="9.140625" style="1"/>
    <col min="16064" max="16064" width="9.42578125" style="1" customWidth="1"/>
    <col min="16065" max="16384" width="9.140625" style="1"/>
  </cols>
  <sheetData>
    <row r="1" spans="1:9" ht="14.25" x14ac:dyDescent="0.2">
      <c r="A1" s="95" t="s">
        <v>35</v>
      </c>
      <c r="B1" s="96"/>
      <c r="C1" s="96"/>
      <c r="D1" s="96"/>
      <c r="E1" s="96"/>
      <c r="F1" s="96"/>
      <c r="G1" s="96"/>
      <c r="H1" s="96"/>
      <c r="I1" s="97"/>
    </row>
    <row r="2" spans="1:9" ht="15" x14ac:dyDescent="0.2">
      <c r="A2" s="91" t="s">
        <v>0</v>
      </c>
      <c r="B2" s="92"/>
      <c r="C2" s="93" t="s">
        <v>36</v>
      </c>
      <c r="D2" s="93"/>
      <c r="E2" s="92" t="s">
        <v>1</v>
      </c>
      <c r="F2" s="92"/>
      <c r="G2" s="63"/>
      <c r="H2" s="98">
        <v>45259</v>
      </c>
      <c r="I2" s="94"/>
    </row>
    <row r="3" spans="1:9" ht="15" x14ac:dyDescent="0.2">
      <c r="A3" s="91" t="s">
        <v>2</v>
      </c>
      <c r="B3" s="92"/>
      <c r="C3" s="93" t="s">
        <v>37</v>
      </c>
      <c r="D3" s="93"/>
      <c r="E3" s="92" t="s">
        <v>3</v>
      </c>
      <c r="F3" s="92"/>
      <c r="G3" s="63"/>
      <c r="H3" s="93"/>
      <c r="I3" s="94"/>
    </row>
    <row r="4" spans="1:9" ht="15" x14ac:dyDescent="0.2">
      <c r="A4" s="91" t="s">
        <v>4</v>
      </c>
      <c r="B4" s="92"/>
      <c r="C4" s="93">
        <v>2</v>
      </c>
      <c r="D4" s="93"/>
      <c r="E4" s="92"/>
      <c r="F4" s="92"/>
      <c r="G4" s="63"/>
      <c r="H4" s="93"/>
      <c r="I4" s="94"/>
    </row>
    <row r="5" spans="1:9" ht="15" x14ac:dyDescent="0.2">
      <c r="A5" s="91"/>
      <c r="B5" s="92"/>
      <c r="C5" s="93"/>
      <c r="D5" s="93"/>
      <c r="E5" s="92"/>
      <c r="F5" s="92"/>
      <c r="G5" s="63"/>
      <c r="H5" s="93"/>
      <c r="I5" s="94"/>
    </row>
    <row r="6" spans="1:9" ht="15" x14ac:dyDescent="0.2">
      <c r="A6" s="2"/>
      <c r="B6" s="3"/>
      <c r="C6" s="3"/>
      <c r="D6" s="4"/>
      <c r="E6" s="4"/>
      <c r="F6" s="4"/>
      <c r="G6" s="4"/>
      <c r="H6" s="3"/>
      <c r="I6" s="5"/>
    </row>
    <row r="7" spans="1:9" ht="42.75" x14ac:dyDescent="0.2">
      <c r="A7" s="6" t="s">
        <v>5</v>
      </c>
      <c r="B7" s="6" t="s">
        <v>6</v>
      </c>
      <c r="C7" s="6" t="s">
        <v>7</v>
      </c>
      <c r="D7" s="6" t="s">
        <v>8</v>
      </c>
      <c r="E7" s="87" t="s">
        <v>9</v>
      </c>
      <c r="F7" s="88"/>
      <c r="G7" s="89"/>
      <c r="H7" s="6" t="s">
        <v>10</v>
      </c>
      <c r="I7" s="6" t="s">
        <v>11</v>
      </c>
    </row>
    <row r="8" spans="1:9" ht="16.5" x14ac:dyDescent="0.2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34</v>
      </c>
      <c r="H8" s="7" t="s">
        <v>18</v>
      </c>
      <c r="I8" s="7" t="s">
        <v>18</v>
      </c>
    </row>
    <row r="9" spans="1:9" ht="15" x14ac:dyDescent="0.2">
      <c r="A9" s="79">
        <v>20</v>
      </c>
      <c r="B9" s="82">
        <f>A9*154/1000</f>
        <v>3.08</v>
      </c>
      <c r="C9" s="82">
        <f>B9/(0.07)</f>
        <v>44</v>
      </c>
      <c r="D9" s="8">
        <v>0</v>
      </c>
      <c r="E9" s="9">
        <v>0.17</v>
      </c>
      <c r="F9" s="9">
        <v>0.21</v>
      </c>
      <c r="G9" s="9">
        <v>0.13</v>
      </c>
      <c r="H9" s="82">
        <f>(((E11-E9)+(F11-F9))/2)+(G11-G9)</f>
        <v>1.1800000000000002</v>
      </c>
      <c r="I9" s="85">
        <f>H9</f>
        <v>1.1800000000000002</v>
      </c>
    </row>
    <row r="10" spans="1:9" ht="15" x14ac:dyDescent="0.2">
      <c r="A10" s="80"/>
      <c r="B10" s="83"/>
      <c r="C10" s="83"/>
      <c r="D10" s="10">
        <v>15</v>
      </c>
      <c r="E10" s="11"/>
      <c r="F10" s="11"/>
      <c r="G10" s="11"/>
      <c r="H10" s="83"/>
      <c r="I10" s="86"/>
    </row>
    <row r="11" spans="1:9" ht="15" x14ac:dyDescent="0.2">
      <c r="A11" s="80"/>
      <c r="B11" s="83"/>
      <c r="C11" s="83"/>
      <c r="D11" s="10">
        <v>30</v>
      </c>
      <c r="E11" s="11">
        <v>0.69</v>
      </c>
      <c r="F11" s="11">
        <v>0.71</v>
      </c>
      <c r="G11" s="11">
        <v>0.8</v>
      </c>
      <c r="H11" s="83"/>
      <c r="I11" s="86"/>
    </row>
    <row r="12" spans="1:9" ht="15" hidden="1" customHeight="1" x14ac:dyDescent="0.2">
      <c r="A12" s="80"/>
      <c r="B12" s="83"/>
      <c r="C12" s="83"/>
      <c r="D12" s="10">
        <v>6.25</v>
      </c>
      <c r="E12" s="11"/>
      <c r="F12" s="11"/>
      <c r="G12" s="11"/>
      <c r="H12" s="83"/>
      <c r="I12" s="86"/>
    </row>
    <row r="13" spans="1:9" ht="15" hidden="1" customHeight="1" x14ac:dyDescent="0.2">
      <c r="A13" s="80"/>
      <c r="B13" s="83"/>
      <c r="C13" s="83"/>
      <c r="D13" s="10">
        <v>9</v>
      </c>
      <c r="E13" s="11"/>
      <c r="F13" s="11"/>
      <c r="G13" s="11"/>
      <c r="H13" s="83"/>
      <c r="I13" s="86"/>
    </row>
    <row r="14" spans="1:9" ht="15" hidden="1" customHeight="1" x14ac:dyDescent="0.2">
      <c r="A14" s="80"/>
      <c r="B14" s="83"/>
      <c r="C14" s="83"/>
      <c r="D14" s="12">
        <v>12</v>
      </c>
      <c r="E14" s="13"/>
      <c r="F14" s="13"/>
      <c r="G14" s="13"/>
      <c r="H14" s="84"/>
      <c r="I14" s="90"/>
    </row>
    <row r="15" spans="1:9" ht="15" hidden="1" customHeight="1" x14ac:dyDescent="0.2">
      <c r="A15" s="81"/>
      <c r="B15" s="84"/>
      <c r="C15" s="84"/>
      <c r="D15" s="10">
        <v>16</v>
      </c>
      <c r="E15" s="11">
        <v>1.59</v>
      </c>
      <c r="F15" s="11">
        <v>1.27</v>
      </c>
      <c r="G15" s="11"/>
      <c r="H15" s="64"/>
      <c r="I15" s="65"/>
    </row>
    <row r="16" spans="1:9" ht="15" x14ac:dyDescent="0.2">
      <c r="A16" s="79">
        <v>40</v>
      </c>
      <c r="B16" s="82">
        <f>A16*154/1000</f>
        <v>6.16</v>
      </c>
      <c r="C16" s="82">
        <f t="shared" ref="C16" si="0">B16/(0.07)</f>
        <v>88</v>
      </c>
      <c r="D16" s="8">
        <v>0</v>
      </c>
      <c r="E16" s="9">
        <f>E11</f>
        <v>0.69</v>
      </c>
      <c r="F16" s="9">
        <f>F11</f>
        <v>0.71</v>
      </c>
      <c r="G16" s="9">
        <f>G11</f>
        <v>0.8</v>
      </c>
      <c r="H16" s="82">
        <f>(((E18-E16)+(F18-F16))/2)+(G18-G16)</f>
        <v>0.84</v>
      </c>
      <c r="I16" s="82">
        <f>I9+H16</f>
        <v>2.02</v>
      </c>
    </row>
    <row r="17" spans="1:9" ht="15" x14ac:dyDescent="0.2">
      <c r="A17" s="80"/>
      <c r="B17" s="83"/>
      <c r="C17" s="83"/>
      <c r="D17" s="10">
        <v>15</v>
      </c>
      <c r="E17" s="11"/>
      <c r="F17" s="11"/>
      <c r="G17" s="11"/>
      <c r="H17" s="83"/>
      <c r="I17" s="83"/>
    </row>
    <row r="18" spans="1:9" ht="15" x14ac:dyDescent="0.2">
      <c r="A18" s="80"/>
      <c r="B18" s="83"/>
      <c r="C18" s="83"/>
      <c r="D18" s="10">
        <v>30</v>
      </c>
      <c r="E18" s="11">
        <v>1.05</v>
      </c>
      <c r="F18" s="11">
        <v>1.17</v>
      </c>
      <c r="G18" s="11">
        <v>1.23</v>
      </c>
      <c r="H18" s="83"/>
      <c r="I18" s="83"/>
    </row>
    <row r="19" spans="1:9" ht="15" hidden="1" x14ac:dyDescent="0.2">
      <c r="A19" s="80"/>
      <c r="B19" s="83"/>
      <c r="C19" s="83"/>
      <c r="D19" s="10">
        <v>6.25</v>
      </c>
      <c r="E19" s="11"/>
      <c r="F19" s="11"/>
      <c r="G19" s="11"/>
      <c r="H19" s="83"/>
      <c r="I19" s="83"/>
    </row>
    <row r="20" spans="1:9" ht="15" hidden="1" x14ac:dyDescent="0.2">
      <c r="A20" s="80"/>
      <c r="B20" s="83"/>
      <c r="C20" s="83"/>
      <c r="D20" s="10">
        <v>9</v>
      </c>
      <c r="E20" s="11"/>
      <c r="F20" s="11"/>
      <c r="G20" s="11"/>
      <c r="H20" s="83"/>
      <c r="I20" s="83"/>
    </row>
    <row r="21" spans="1:9" ht="15" hidden="1" x14ac:dyDescent="0.2">
      <c r="A21" s="80"/>
      <c r="B21" s="83"/>
      <c r="C21" s="83"/>
      <c r="D21" s="12">
        <v>12</v>
      </c>
      <c r="E21" s="13"/>
      <c r="F21" s="13"/>
      <c r="G21" s="13"/>
      <c r="H21" s="84"/>
      <c r="I21" s="84"/>
    </row>
    <row r="22" spans="1:9" ht="15" hidden="1" x14ac:dyDescent="0.2">
      <c r="A22" s="81"/>
      <c r="B22" s="84"/>
      <c r="C22" s="84"/>
      <c r="D22" s="10">
        <v>16</v>
      </c>
      <c r="E22" s="11">
        <v>2.35</v>
      </c>
      <c r="F22" s="11">
        <v>1.93</v>
      </c>
      <c r="G22" s="11"/>
      <c r="H22" s="64"/>
      <c r="I22" s="64"/>
    </row>
    <row r="23" spans="1:9" ht="15" x14ac:dyDescent="0.2">
      <c r="A23" s="79">
        <v>60</v>
      </c>
      <c r="B23" s="82">
        <f>A23*154/1000</f>
        <v>9.24</v>
      </c>
      <c r="C23" s="82">
        <f t="shared" ref="C23" si="1">B23/(0.07)</f>
        <v>132</v>
      </c>
      <c r="D23" s="8">
        <v>0</v>
      </c>
      <c r="E23" s="9">
        <f>E18</f>
        <v>1.05</v>
      </c>
      <c r="F23" s="9">
        <f>F18</f>
        <v>1.17</v>
      </c>
      <c r="G23" s="9">
        <f>G18</f>
        <v>1.23</v>
      </c>
      <c r="H23" s="82">
        <f>(((E25-E23)+(F25-F23))/2)+(G25-G23)</f>
        <v>1.06</v>
      </c>
      <c r="I23" s="82">
        <f>I16+H23</f>
        <v>3.08</v>
      </c>
    </row>
    <row r="24" spans="1:9" ht="15" x14ac:dyDescent="0.2">
      <c r="A24" s="80"/>
      <c r="B24" s="83"/>
      <c r="C24" s="83"/>
      <c r="D24" s="10">
        <v>15</v>
      </c>
      <c r="E24" s="11"/>
      <c r="F24" s="11"/>
      <c r="G24" s="11"/>
      <c r="H24" s="83"/>
      <c r="I24" s="83"/>
    </row>
    <row r="25" spans="1:9" ht="15" x14ac:dyDescent="0.2">
      <c r="A25" s="80"/>
      <c r="B25" s="83"/>
      <c r="C25" s="83"/>
      <c r="D25" s="10">
        <v>30</v>
      </c>
      <c r="E25" s="11">
        <v>1.81</v>
      </c>
      <c r="F25" s="11">
        <v>1.79</v>
      </c>
      <c r="G25" s="11">
        <v>1.6</v>
      </c>
      <c r="H25" s="83"/>
      <c r="I25" s="83"/>
    </row>
    <row r="26" spans="1:9" ht="15" hidden="1" customHeight="1" x14ac:dyDescent="0.2">
      <c r="A26" s="80"/>
      <c r="B26" s="83"/>
      <c r="C26" s="83"/>
      <c r="D26" s="10">
        <v>6.25</v>
      </c>
      <c r="E26" s="11"/>
      <c r="F26" s="11"/>
      <c r="G26" s="11"/>
      <c r="H26" s="83"/>
      <c r="I26" s="83"/>
    </row>
    <row r="27" spans="1:9" ht="15" hidden="1" customHeight="1" x14ac:dyDescent="0.2">
      <c r="A27" s="80"/>
      <c r="B27" s="83"/>
      <c r="C27" s="83"/>
      <c r="D27" s="10">
        <v>9</v>
      </c>
      <c r="E27" s="11"/>
      <c r="F27" s="11"/>
      <c r="G27" s="11"/>
      <c r="H27" s="83"/>
      <c r="I27" s="83"/>
    </row>
    <row r="28" spans="1:9" ht="15" hidden="1" customHeight="1" x14ac:dyDescent="0.2">
      <c r="A28" s="80"/>
      <c r="B28" s="83"/>
      <c r="C28" s="83"/>
      <c r="D28" s="12">
        <v>12</v>
      </c>
      <c r="E28" s="11"/>
      <c r="F28" s="11"/>
      <c r="G28" s="11"/>
      <c r="H28" s="84"/>
      <c r="I28" s="84"/>
    </row>
    <row r="29" spans="1:9" ht="15" hidden="1" x14ac:dyDescent="0.2">
      <c r="A29" s="81"/>
      <c r="B29" s="84"/>
      <c r="C29" s="84"/>
      <c r="D29" s="10">
        <v>16</v>
      </c>
      <c r="E29" s="11">
        <v>3.19</v>
      </c>
      <c r="F29" s="11">
        <v>2.5</v>
      </c>
      <c r="G29" s="11"/>
      <c r="H29" s="64"/>
      <c r="I29" s="64"/>
    </row>
    <row r="30" spans="1:9" ht="15" x14ac:dyDescent="0.2">
      <c r="A30" s="79">
        <v>80</v>
      </c>
      <c r="B30" s="82">
        <f>A30*154/1000</f>
        <v>12.32</v>
      </c>
      <c r="C30" s="82">
        <f t="shared" ref="C30" si="2">B30/(0.07)</f>
        <v>176</v>
      </c>
      <c r="D30" s="8">
        <v>0</v>
      </c>
      <c r="E30" s="9">
        <f>E25</f>
        <v>1.81</v>
      </c>
      <c r="F30" s="9">
        <f>F25</f>
        <v>1.79</v>
      </c>
      <c r="G30" s="9">
        <f>G25</f>
        <v>1.6</v>
      </c>
      <c r="H30" s="82">
        <f>(((E32-E30)+(F32-F30))/2)+(G32-G30)</f>
        <v>1.3399999999999996</v>
      </c>
      <c r="I30" s="82">
        <f>I23+H30</f>
        <v>4.42</v>
      </c>
    </row>
    <row r="31" spans="1:9" ht="15" x14ac:dyDescent="0.2">
      <c r="A31" s="80"/>
      <c r="B31" s="83"/>
      <c r="C31" s="83"/>
      <c r="D31" s="10">
        <v>15</v>
      </c>
      <c r="E31" s="11"/>
      <c r="F31" s="11"/>
      <c r="G31" s="11"/>
      <c r="H31" s="83"/>
      <c r="I31" s="83"/>
    </row>
    <row r="32" spans="1:9" ht="15" x14ac:dyDescent="0.2">
      <c r="A32" s="80"/>
      <c r="B32" s="83"/>
      <c r="C32" s="83"/>
      <c r="D32" s="10">
        <v>30</v>
      </c>
      <c r="E32" s="11">
        <v>2.2999999999999998</v>
      </c>
      <c r="F32" s="11">
        <v>2.34</v>
      </c>
      <c r="G32" s="11">
        <v>2.42</v>
      </c>
      <c r="H32" s="83"/>
      <c r="I32" s="83"/>
    </row>
    <row r="33" spans="1:21" ht="15" hidden="1" x14ac:dyDescent="0.2">
      <c r="A33" s="80"/>
      <c r="B33" s="83"/>
      <c r="C33" s="83"/>
      <c r="D33" s="10">
        <v>6.25</v>
      </c>
      <c r="E33" s="11"/>
      <c r="F33" s="11"/>
      <c r="G33" s="11"/>
      <c r="H33" s="83"/>
      <c r="I33" s="83"/>
    </row>
    <row r="34" spans="1:21" ht="15" hidden="1" x14ac:dyDescent="0.2">
      <c r="A34" s="80"/>
      <c r="B34" s="83"/>
      <c r="C34" s="83"/>
      <c r="D34" s="10">
        <v>9</v>
      </c>
      <c r="E34" s="11"/>
      <c r="F34" s="11"/>
      <c r="G34" s="11"/>
      <c r="H34" s="83"/>
      <c r="I34" s="83"/>
    </row>
    <row r="35" spans="1:21" ht="15" hidden="1" x14ac:dyDescent="0.2">
      <c r="A35" s="80"/>
      <c r="B35" s="83"/>
      <c r="C35" s="83"/>
      <c r="D35" s="12">
        <v>12</v>
      </c>
      <c r="E35" s="11"/>
      <c r="F35" s="11"/>
      <c r="G35" s="11"/>
      <c r="H35" s="84"/>
      <c r="I35" s="84"/>
    </row>
    <row r="36" spans="1:21" ht="15" hidden="1" x14ac:dyDescent="0.2">
      <c r="A36" s="81"/>
      <c r="B36" s="84"/>
      <c r="C36" s="84"/>
      <c r="D36" s="10">
        <v>16</v>
      </c>
      <c r="E36" s="11">
        <v>4.0999999999999996</v>
      </c>
      <c r="F36" s="11">
        <v>2.9</v>
      </c>
      <c r="G36" s="11"/>
      <c r="H36" s="64"/>
      <c r="I36" s="65"/>
    </row>
    <row r="37" spans="1:21" ht="15" x14ac:dyDescent="0.2">
      <c r="A37" s="79">
        <v>95</v>
      </c>
      <c r="B37" s="82">
        <f>A37*154/1000</f>
        <v>14.63</v>
      </c>
      <c r="C37" s="82">
        <f>B37/(0.07)</f>
        <v>209</v>
      </c>
      <c r="D37" s="8">
        <v>0</v>
      </c>
      <c r="E37" s="9">
        <f>E32</f>
        <v>2.2999999999999998</v>
      </c>
      <c r="F37" s="9">
        <f>F32</f>
        <v>2.34</v>
      </c>
      <c r="G37" s="9">
        <f>G32</f>
        <v>2.42</v>
      </c>
      <c r="H37" s="82">
        <f>(((E39-E37)+(F39-F37))/2)+(G39-G37)</f>
        <v>2.3550000000000004</v>
      </c>
      <c r="I37" s="85">
        <f>I30+H37</f>
        <v>6.7750000000000004</v>
      </c>
    </row>
    <row r="38" spans="1:21" ht="15" x14ac:dyDescent="0.2">
      <c r="A38" s="80"/>
      <c r="B38" s="83"/>
      <c r="C38" s="83"/>
      <c r="D38" s="10">
        <v>15</v>
      </c>
      <c r="E38" s="11"/>
      <c r="F38" s="11"/>
      <c r="G38" s="11"/>
      <c r="H38" s="83"/>
      <c r="I38" s="86"/>
    </row>
    <row r="39" spans="1:21" ht="15" x14ac:dyDescent="0.2">
      <c r="A39" s="80"/>
      <c r="B39" s="83"/>
      <c r="C39" s="83"/>
      <c r="D39" s="10">
        <v>30</v>
      </c>
      <c r="E39" s="11">
        <v>3.35</v>
      </c>
      <c r="F39" s="11">
        <v>3.4</v>
      </c>
      <c r="G39" s="11">
        <v>3.72</v>
      </c>
      <c r="H39" s="83"/>
      <c r="I39" s="86"/>
    </row>
    <row r="40" spans="1:21" ht="15" x14ac:dyDescent="0.2">
      <c r="A40" s="14">
        <v>80</v>
      </c>
      <c r="B40" s="15">
        <f>A40*154/1000</f>
        <v>12.32</v>
      </c>
      <c r="C40" s="15">
        <f>B40/(0.07)</f>
        <v>176</v>
      </c>
      <c r="D40" s="14">
        <v>0</v>
      </c>
      <c r="E40" s="16">
        <v>3.27</v>
      </c>
      <c r="F40" s="16">
        <v>3.31</v>
      </c>
      <c r="G40" s="16">
        <v>3.6</v>
      </c>
      <c r="H40" s="66">
        <f>(((E40-E39)+(F40-F39))/2)+(G40-G39)</f>
        <v>-0.20500000000000007</v>
      </c>
      <c r="I40" s="67">
        <f>I37+H40</f>
        <v>6.57</v>
      </c>
    </row>
    <row r="41" spans="1:21" ht="15" x14ac:dyDescent="0.2">
      <c r="A41" s="14">
        <v>60</v>
      </c>
      <c r="B41" s="15">
        <f t="shared" ref="B41:B42" si="3">A41*154/1000</f>
        <v>9.24</v>
      </c>
      <c r="C41" s="15">
        <f t="shared" ref="C41:C43" si="4">B41/(0.07)</f>
        <v>132</v>
      </c>
      <c r="D41" s="14">
        <v>0</v>
      </c>
      <c r="E41" s="16">
        <v>3.18</v>
      </c>
      <c r="F41" s="16">
        <v>3.25</v>
      </c>
      <c r="G41" s="16">
        <v>3.51</v>
      </c>
      <c r="H41" s="66">
        <f>(((E41-E40)+(F41-F40))/2)+(G41-G40)</f>
        <v>-0.16500000000000026</v>
      </c>
      <c r="I41" s="67">
        <f>I40+H41</f>
        <v>6.4050000000000002</v>
      </c>
    </row>
    <row r="42" spans="1:21" ht="15" x14ac:dyDescent="0.2">
      <c r="A42" s="14">
        <v>40</v>
      </c>
      <c r="B42" s="15">
        <f t="shared" si="3"/>
        <v>6.16</v>
      </c>
      <c r="C42" s="15">
        <f t="shared" si="4"/>
        <v>88</v>
      </c>
      <c r="D42" s="14">
        <v>0</v>
      </c>
      <c r="E42" s="16">
        <v>3.11</v>
      </c>
      <c r="F42" s="16">
        <v>3.15</v>
      </c>
      <c r="G42" s="16">
        <v>3.46</v>
      </c>
      <c r="H42" s="66">
        <f t="shared" ref="H42:H44" si="5">(((E42-E41)+(F42-F41))/2)+(G42-G41)</f>
        <v>-0.13500000000000001</v>
      </c>
      <c r="I42" s="67">
        <f>I41+H42</f>
        <v>6.2700000000000005</v>
      </c>
    </row>
    <row r="43" spans="1:21" ht="15" x14ac:dyDescent="0.2">
      <c r="A43" s="14">
        <v>20</v>
      </c>
      <c r="B43" s="15">
        <f>A43*154/1000</f>
        <v>3.08</v>
      </c>
      <c r="C43" s="15">
        <f t="shared" si="4"/>
        <v>44</v>
      </c>
      <c r="D43" s="12">
        <v>0</v>
      </c>
      <c r="E43" s="13">
        <v>3.05</v>
      </c>
      <c r="F43" s="13">
        <v>3.08</v>
      </c>
      <c r="G43" s="13">
        <v>3.38</v>
      </c>
      <c r="H43" s="66">
        <f t="shared" si="5"/>
        <v>-0.14500000000000002</v>
      </c>
      <c r="I43" s="67">
        <f>I42+H43</f>
        <v>6.125</v>
      </c>
    </row>
    <row r="44" spans="1:21" ht="15" x14ac:dyDescent="0.2">
      <c r="A44" s="17">
        <v>0</v>
      </c>
      <c r="B44" s="15">
        <f>A44*154/1000</f>
        <v>0</v>
      </c>
      <c r="C44" s="17"/>
      <c r="D44" s="14">
        <v>0</v>
      </c>
      <c r="E44" s="13">
        <v>2.97</v>
      </c>
      <c r="F44" s="13">
        <v>2.95</v>
      </c>
      <c r="G44" s="13">
        <v>3.23</v>
      </c>
      <c r="H44" s="66">
        <f t="shared" si="5"/>
        <v>-0.25499999999999967</v>
      </c>
      <c r="I44" s="67">
        <f>I43+H44</f>
        <v>5.87</v>
      </c>
    </row>
    <row r="45" spans="1:21" ht="15.75" thickBot="1" x14ac:dyDescent="0.25">
      <c r="A45" s="17"/>
      <c r="B45" s="17"/>
      <c r="C45" s="17"/>
      <c r="D45" s="17"/>
      <c r="E45" s="17"/>
      <c r="F45" s="17"/>
      <c r="G45" s="17"/>
      <c r="H45" s="17"/>
      <c r="I45" s="17"/>
    </row>
    <row r="46" spans="1:21" ht="16.5" thickBot="1" x14ac:dyDescent="0.25">
      <c r="A46" s="17"/>
      <c r="B46" s="17"/>
      <c r="C46" s="17"/>
      <c r="D46" s="17"/>
      <c r="E46" s="17"/>
      <c r="F46" s="17"/>
      <c r="G46" s="17"/>
      <c r="H46" s="17"/>
      <c r="I46" s="17"/>
      <c r="K46" s="76" t="s">
        <v>19</v>
      </c>
      <c r="L46" s="77"/>
      <c r="M46" s="77"/>
      <c r="N46" s="77"/>
      <c r="O46" s="77"/>
      <c r="P46" s="77"/>
      <c r="Q46" s="77"/>
      <c r="R46" s="77"/>
      <c r="S46" s="77"/>
      <c r="T46" s="77"/>
      <c r="U46" s="78"/>
    </row>
    <row r="47" spans="1:21" ht="12.75" customHeight="1" x14ac:dyDescent="0.2">
      <c r="A47" s="17"/>
      <c r="B47" s="17"/>
      <c r="C47" s="17"/>
      <c r="D47" s="17"/>
      <c r="E47" s="17"/>
      <c r="F47" s="17"/>
      <c r="G47" s="17"/>
      <c r="H47" s="17"/>
      <c r="I47" s="17"/>
      <c r="K47" s="69" t="str">
        <f>C2</f>
        <v>377 MLD</v>
      </c>
      <c r="L47" s="70"/>
      <c r="M47" s="70"/>
      <c r="N47" s="70"/>
      <c r="O47" s="70"/>
      <c r="P47" s="70"/>
      <c r="Q47" s="70"/>
      <c r="R47" s="70"/>
      <c r="S47" s="70"/>
      <c r="T47" s="70"/>
      <c r="U47" s="71"/>
    </row>
    <row r="48" spans="1:21" ht="15" x14ac:dyDescent="0.2">
      <c r="A48" s="17"/>
      <c r="B48" s="17"/>
      <c r="C48" s="17"/>
      <c r="D48" s="17"/>
      <c r="E48" s="17"/>
      <c r="F48" s="17"/>
      <c r="G48" s="17"/>
      <c r="H48" s="17"/>
      <c r="I48" s="17"/>
      <c r="K48" s="18" t="s">
        <v>20</v>
      </c>
      <c r="L48" s="19">
        <f>C4</f>
        <v>2</v>
      </c>
      <c r="M48" s="20" t="s">
        <v>21</v>
      </c>
      <c r="N48" s="1" t="str">
        <f>C3</f>
        <v>GVPR</v>
      </c>
      <c r="O48" s="21"/>
      <c r="P48" s="19"/>
      <c r="Q48" s="19"/>
      <c r="R48" s="20"/>
      <c r="T48" s="19"/>
      <c r="U48" s="22"/>
    </row>
    <row r="49" spans="1:22" ht="15" x14ac:dyDescent="0.2">
      <c r="A49" s="17"/>
      <c r="B49" s="17"/>
      <c r="C49" s="17"/>
      <c r="D49" s="17"/>
      <c r="E49" s="17"/>
      <c r="F49" s="17"/>
      <c r="G49" s="17"/>
      <c r="H49" s="17"/>
      <c r="I49" s="17"/>
      <c r="K49" s="23" t="s">
        <v>22</v>
      </c>
      <c r="L49" s="20">
        <f>H3</f>
        <v>0</v>
      </c>
      <c r="P49" s="24"/>
      <c r="Q49" s="25"/>
      <c r="S49" s="25"/>
      <c r="T49" s="26"/>
      <c r="U49" s="27"/>
    </row>
    <row r="50" spans="1:22" ht="15" x14ac:dyDescent="0.2">
      <c r="A50" s="17"/>
      <c r="B50" s="17"/>
      <c r="C50" s="17"/>
      <c r="D50" s="17"/>
      <c r="E50" s="17"/>
      <c r="F50" s="17"/>
      <c r="G50" s="17"/>
      <c r="H50" s="17"/>
      <c r="I50" s="17"/>
      <c r="K50" s="23" t="s">
        <v>23</v>
      </c>
      <c r="L50" s="28" t="s">
        <v>33</v>
      </c>
      <c r="N50" s="29"/>
      <c r="O50" s="1" t="s">
        <v>24</v>
      </c>
      <c r="P50" s="72">
        <f>H4</f>
        <v>0</v>
      </c>
      <c r="Q50" s="72"/>
      <c r="R50" s="72">
        <f>H5</f>
        <v>0</v>
      </c>
      <c r="S50" s="72"/>
      <c r="T50" s="30"/>
      <c r="U50" s="27"/>
    </row>
    <row r="51" spans="1:22" ht="12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K51" s="23" t="s">
        <v>25</v>
      </c>
      <c r="L51" s="1">
        <f>C5</f>
        <v>0</v>
      </c>
      <c r="N51" s="29"/>
      <c r="P51" s="26"/>
      <c r="Q51" s="25"/>
      <c r="R51" s="31"/>
      <c r="S51" s="25"/>
      <c r="T51" s="29"/>
      <c r="U51" s="27"/>
    </row>
    <row r="52" spans="1:22" ht="12.75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K52" s="23" t="s">
        <v>26</v>
      </c>
      <c r="L52" s="32">
        <f>H2</f>
        <v>45259</v>
      </c>
      <c r="P52" s="26"/>
      <c r="Q52" s="33"/>
      <c r="R52" s="31"/>
      <c r="S52" s="25"/>
      <c r="T52" s="29"/>
      <c r="U52" s="27"/>
    </row>
    <row r="53" spans="1:22" ht="16.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K53" s="23"/>
      <c r="N53" s="74" t="s">
        <v>27</v>
      </c>
      <c r="O53" s="74"/>
      <c r="P53" s="74"/>
      <c r="Q53" s="74"/>
      <c r="R53" s="74"/>
      <c r="S53" s="74"/>
      <c r="T53" s="74"/>
      <c r="U53" s="27"/>
    </row>
    <row r="54" spans="1:22" ht="15.75" x14ac:dyDescent="0.25">
      <c r="A54" s="17"/>
      <c r="B54" s="17"/>
      <c r="C54" s="17"/>
      <c r="D54" s="17"/>
      <c r="E54" s="17"/>
      <c r="F54" s="17"/>
      <c r="G54" s="17"/>
      <c r="H54" s="17"/>
      <c r="I54" s="17"/>
      <c r="K54" s="23"/>
      <c r="P54" s="34"/>
      <c r="Q54" s="31"/>
      <c r="R54" s="31"/>
      <c r="S54" s="31"/>
      <c r="U54" s="27"/>
      <c r="V54" s="29"/>
    </row>
    <row r="55" spans="1:22" ht="38.25" x14ac:dyDescent="0.2">
      <c r="A55" s="17"/>
      <c r="B55" s="17"/>
      <c r="C55" s="17"/>
      <c r="D55" s="17"/>
      <c r="E55" s="17"/>
      <c r="F55" s="17"/>
      <c r="G55" s="17"/>
      <c r="H55" s="17"/>
      <c r="I55" s="17"/>
      <c r="K55" s="35" t="s">
        <v>28</v>
      </c>
      <c r="L55" s="36" t="s">
        <v>29</v>
      </c>
      <c r="M55" s="37"/>
      <c r="N55" s="38"/>
      <c r="O55" s="38"/>
      <c r="P55" s="38"/>
      <c r="Q55" s="29"/>
      <c r="R55" s="29"/>
      <c r="S55" s="29"/>
      <c r="T55" s="29"/>
      <c r="U55" s="39"/>
      <c r="V55" s="37"/>
    </row>
    <row r="56" spans="1:22" ht="15" x14ac:dyDescent="0.2">
      <c r="A56" s="17"/>
      <c r="B56" s="17"/>
      <c r="C56" s="17"/>
      <c r="D56" s="17"/>
      <c r="E56" s="17"/>
      <c r="F56" s="17"/>
      <c r="G56" s="17"/>
      <c r="H56" s="17"/>
      <c r="I56" s="17"/>
      <c r="K56" s="40"/>
      <c r="L56" s="41"/>
      <c r="M56" s="25"/>
      <c r="N56" s="25"/>
      <c r="O56" s="25"/>
      <c r="Q56" s="29"/>
      <c r="R56" s="29"/>
      <c r="S56" s="29"/>
      <c r="T56" s="29"/>
      <c r="U56" s="27"/>
      <c r="V56" s="29"/>
    </row>
    <row r="57" spans="1:22" ht="15" x14ac:dyDescent="0.2">
      <c r="A57" s="17"/>
      <c r="B57" s="17"/>
      <c r="C57" s="17"/>
      <c r="D57" s="17"/>
      <c r="E57" s="17"/>
      <c r="F57" s="17"/>
      <c r="G57" s="17"/>
      <c r="H57" s="17"/>
      <c r="I57" s="17"/>
      <c r="K57" s="42">
        <f>B9</f>
        <v>3.08</v>
      </c>
      <c r="L57" s="43">
        <f>I9</f>
        <v>1.1800000000000002</v>
      </c>
      <c r="M57" s="25"/>
      <c r="N57" s="25"/>
      <c r="O57" s="25"/>
      <c r="Q57" s="29"/>
      <c r="R57" s="29"/>
      <c r="S57" s="29"/>
      <c r="T57" s="29"/>
      <c r="U57" s="27"/>
      <c r="V57" s="29"/>
    </row>
    <row r="58" spans="1:22" ht="15" x14ac:dyDescent="0.2">
      <c r="A58" s="17"/>
      <c r="B58" s="17"/>
      <c r="C58" s="17"/>
      <c r="D58" s="17"/>
      <c r="E58" s="17"/>
      <c r="F58" s="17"/>
      <c r="G58" s="17"/>
      <c r="H58" s="17"/>
      <c r="I58" s="17"/>
      <c r="K58" s="42">
        <f>B16</f>
        <v>6.16</v>
      </c>
      <c r="L58" s="43">
        <f>I16</f>
        <v>2.02</v>
      </c>
      <c r="M58" s="25"/>
      <c r="N58" s="25"/>
      <c r="O58" s="25"/>
      <c r="Q58" s="29"/>
      <c r="R58" s="29"/>
      <c r="S58" s="29"/>
      <c r="T58" s="29"/>
      <c r="U58" s="27"/>
      <c r="V58" s="29"/>
    </row>
    <row r="59" spans="1:22" ht="15" x14ac:dyDescent="0.2">
      <c r="A59" s="17"/>
      <c r="B59" s="17"/>
      <c r="C59" s="17"/>
      <c r="D59" s="17"/>
      <c r="E59" s="17"/>
      <c r="F59" s="17"/>
      <c r="G59" s="17"/>
      <c r="H59" s="17"/>
      <c r="I59" s="17"/>
      <c r="K59" s="42">
        <f>B23</f>
        <v>9.24</v>
      </c>
      <c r="L59" s="43">
        <f>I23</f>
        <v>3.08</v>
      </c>
      <c r="M59" s="25"/>
      <c r="N59" s="25"/>
      <c r="O59" s="25"/>
      <c r="Q59" s="29"/>
      <c r="R59" s="29"/>
      <c r="S59" s="29"/>
      <c r="T59" s="29"/>
      <c r="U59" s="27"/>
      <c r="V59" s="29"/>
    </row>
    <row r="60" spans="1:22" ht="15" x14ac:dyDescent="0.2">
      <c r="A60" s="17"/>
      <c r="B60" s="17"/>
      <c r="C60" s="17"/>
      <c r="D60" s="17"/>
      <c r="E60" s="17"/>
      <c r="F60" s="17"/>
      <c r="G60" s="17"/>
      <c r="H60" s="17"/>
      <c r="I60" s="17"/>
      <c r="K60" s="42">
        <f>B30</f>
        <v>12.32</v>
      </c>
      <c r="L60" s="43">
        <f>I30</f>
        <v>4.42</v>
      </c>
      <c r="M60" s="25"/>
      <c r="N60" s="25"/>
      <c r="O60" s="25"/>
      <c r="Q60" s="29"/>
      <c r="R60" s="29"/>
      <c r="S60" s="29"/>
      <c r="T60" s="29"/>
      <c r="U60" s="27"/>
      <c r="V60" s="29"/>
    </row>
    <row r="61" spans="1:22" ht="15" x14ac:dyDescent="0.2">
      <c r="A61" s="17"/>
      <c r="B61" s="17"/>
      <c r="C61" s="17"/>
      <c r="D61" s="17"/>
      <c r="E61" s="17"/>
      <c r="F61" s="17"/>
      <c r="G61" s="17"/>
      <c r="H61" s="17"/>
      <c r="I61" s="17"/>
      <c r="K61" s="42">
        <f>B37</f>
        <v>14.63</v>
      </c>
      <c r="L61" s="43">
        <f>I37</f>
        <v>6.7750000000000004</v>
      </c>
      <c r="M61" s="25"/>
      <c r="N61" s="25"/>
      <c r="O61" s="25"/>
      <c r="Q61" s="29"/>
      <c r="R61" s="29"/>
      <c r="S61" s="29"/>
      <c r="T61" s="29"/>
      <c r="U61" s="27"/>
      <c r="V61" s="29"/>
    </row>
    <row r="62" spans="1:22" ht="15" x14ac:dyDescent="0.2">
      <c r="A62" s="17"/>
      <c r="B62" s="17"/>
      <c r="C62" s="17"/>
      <c r="D62" s="17"/>
      <c r="E62" s="17"/>
      <c r="F62" s="17"/>
      <c r="G62" s="17"/>
      <c r="H62" s="17"/>
      <c r="I62" s="17"/>
      <c r="K62" s="42">
        <f>K60</f>
        <v>12.32</v>
      </c>
      <c r="L62" s="44">
        <v>3.4833333333333334</v>
      </c>
      <c r="M62" s="25"/>
      <c r="N62" s="25"/>
      <c r="O62" s="25"/>
      <c r="Q62" s="29"/>
      <c r="R62" s="29"/>
      <c r="S62" s="29"/>
      <c r="T62" s="29"/>
      <c r="U62" s="27"/>
      <c r="V62" s="29"/>
    </row>
    <row r="63" spans="1:22" ht="15" x14ac:dyDescent="0.2">
      <c r="A63" s="17"/>
      <c r="B63" s="17"/>
      <c r="C63" s="17"/>
      <c r="D63" s="17"/>
      <c r="E63" s="17"/>
      <c r="F63" s="17"/>
      <c r="G63" s="17"/>
      <c r="H63" s="17"/>
      <c r="I63" s="17"/>
      <c r="K63" s="68">
        <f>K59</f>
        <v>9.24</v>
      </c>
      <c r="L63" s="44">
        <v>3.2366666666666668</v>
      </c>
      <c r="M63" s="25"/>
      <c r="N63" s="25"/>
      <c r="O63" s="25"/>
      <c r="Q63" s="29"/>
      <c r="R63" s="29"/>
      <c r="S63" s="29"/>
      <c r="T63" s="29"/>
      <c r="U63" s="27"/>
      <c r="V63" s="29"/>
    </row>
    <row r="64" spans="1:22" x14ac:dyDescent="0.2">
      <c r="K64" s="68">
        <f>K58</f>
        <v>6.16</v>
      </c>
      <c r="L64" s="44">
        <v>2.96</v>
      </c>
      <c r="M64" s="25"/>
      <c r="N64" s="25"/>
      <c r="O64" s="25"/>
      <c r="Q64" s="29"/>
      <c r="R64" s="29"/>
      <c r="S64" s="29"/>
      <c r="T64" s="29"/>
      <c r="U64" s="27"/>
      <c r="V64" s="29"/>
    </row>
    <row r="65" spans="11:22" x14ac:dyDescent="0.2">
      <c r="K65" s="68">
        <f>K57</f>
        <v>3.08</v>
      </c>
      <c r="L65" s="44">
        <v>2.0833333333333335</v>
      </c>
      <c r="M65" s="25"/>
      <c r="N65" s="25"/>
      <c r="O65" s="25"/>
      <c r="Q65" s="29"/>
      <c r="R65" s="29"/>
      <c r="S65" s="29"/>
      <c r="T65" s="29"/>
      <c r="U65" s="27"/>
      <c r="V65" s="29"/>
    </row>
    <row r="66" spans="11:22" x14ac:dyDescent="0.2">
      <c r="K66" s="45">
        <v>0</v>
      </c>
      <c r="L66" s="44">
        <v>1.5500000000000003</v>
      </c>
      <c r="M66" s="25"/>
      <c r="N66" s="25"/>
      <c r="O66" s="25"/>
      <c r="Q66" s="29"/>
      <c r="R66" s="29"/>
      <c r="S66" s="29"/>
      <c r="T66" s="29"/>
      <c r="U66" s="27"/>
      <c r="V66" s="29"/>
    </row>
    <row r="67" spans="11:22" x14ac:dyDescent="0.2">
      <c r="K67" s="46"/>
      <c r="L67" s="44"/>
      <c r="M67" s="25"/>
      <c r="N67" s="25"/>
      <c r="O67" s="25"/>
      <c r="Q67" s="29"/>
      <c r="R67" s="29"/>
      <c r="S67" s="29"/>
      <c r="T67" s="29"/>
      <c r="U67" s="27"/>
      <c r="V67" s="29"/>
    </row>
    <row r="68" spans="11:22" x14ac:dyDescent="0.2">
      <c r="K68" s="45"/>
      <c r="L68" s="44"/>
      <c r="M68" s="25"/>
      <c r="N68" s="25"/>
      <c r="O68" s="25"/>
      <c r="Q68" s="29"/>
      <c r="R68" s="29"/>
      <c r="S68" s="29"/>
      <c r="T68" s="29"/>
      <c r="U68" s="27"/>
      <c r="V68" s="29"/>
    </row>
    <row r="69" spans="11:22" x14ac:dyDescent="0.2">
      <c r="K69" s="45"/>
      <c r="L69" s="44"/>
      <c r="M69" s="25"/>
      <c r="N69" s="25"/>
      <c r="O69" s="25"/>
      <c r="Q69" s="29"/>
      <c r="R69" s="29"/>
      <c r="S69" s="29"/>
      <c r="T69" s="29"/>
      <c r="U69" s="27"/>
      <c r="V69" s="29"/>
    </row>
    <row r="70" spans="11:22" ht="13.5" thickBot="1" x14ac:dyDescent="0.25">
      <c r="K70" s="47"/>
      <c r="L70" s="48"/>
      <c r="M70" s="49"/>
      <c r="N70" s="49"/>
      <c r="O70" s="49"/>
      <c r="P70" s="50"/>
      <c r="Q70" s="50"/>
      <c r="R70" s="50"/>
      <c r="S70" s="50"/>
      <c r="T70" s="50"/>
      <c r="U70" s="51"/>
      <c r="V70" s="29"/>
    </row>
    <row r="72" spans="11:22" ht="13.5" thickBot="1" x14ac:dyDescent="0.25"/>
    <row r="73" spans="11:22" ht="16.5" thickBot="1" x14ac:dyDescent="0.25">
      <c r="K73" s="76" t="s">
        <v>19</v>
      </c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52"/>
    </row>
    <row r="74" spans="11:22" ht="12.75" customHeight="1" x14ac:dyDescent="0.2">
      <c r="K74" s="69" t="str">
        <f>C2</f>
        <v>377 MLD</v>
      </c>
      <c r="L74" s="70"/>
      <c r="M74" s="70"/>
      <c r="N74" s="70"/>
      <c r="O74" s="70"/>
      <c r="P74" s="70"/>
      <c r="Q74" s="70"/>
      <c r="R74" s="70"/>
      <c r="S74" s="70"/>
      <c r="T74" s="70"/>
      <c r="U74" s="71"/>
      <c r="V74" s="53"/>
    </row>
    <row r="75" spans="11:22" x14ac:dyDescent="0.2">
      <c r="K75" s="18" t="s">
        <v>20</v>
      </c>
      <c r="L75" s="19">
        <f>C4</f>
        <v>2</v>
      </c>
      <c r="M75" s="20" t="str">
        <f>M48</f>
        <v>Client</v>
      </c>
      <c r="N75" s="1" t="str">
        <f>N48</f>
        <v>GVPR</v>
      </c>
      <c r="O75" s="21"/>
      <c r="P75" s="19"/>
      <c r="Q75" s="19"/>
      <c r="R75" s="20"/>
      <c r="T75" s="19"/>
      <c r="U75" s="22"/>
      <c r="V75" s="19"/>
    </row>
    <row r="76" spans="11:22" x14ac:dyDescent="0.2">
      <c r="K76" s="23" t="s">
        <v>22</v>
      </c>
      <c r="L76" s="20">
        <f>H3</f>
        <v>0</v>
      </c>
      <c r="P76" s="24"/>
      <c r="Q76" s="25"/>
      <c r="S76" s="25"/>
      <c r="T76" s="26"/>
      <c r="U76" s="27"/>
      <c r="V76" s="29"/>
    </row>
    <row r="77" spans="11:22" x14ac:dyDescent="0.2">
      <c r="K77" s="23" t="s">
        <v>23</v>
      </c>
      <c r="L77" s="28"/>
      <c r="N77" s="29"/>
      <c r="O77" s="1" t="s">
        <v>24</v>
      </c>
      <c r="P77" s="72">
        <f>H4</f>
        <v>0</v>
      </c>
      <c r="Q77" s="72"/>
      <c r="R77" s="73">
        <f>H5</f>
        <v>0</v>
      </c>
      <c r="S77" s="73"/>
      <c r="U77" s="27"/>
      <c r="V77" s="29"/>
    </row>
    <row r="78" spans="11:22" x14ac:dyDescent="0.2">
      <c r="K78" s="23" t="s">
        <v>25</v>
      </c>
      <c r="L78" s="1">
        <f>C5</f>
        <v>0</v>
      </c>
      <c r="N78" s="29"/>
      <c r="P78" s="26"/>
      <c r="Q78" s="25"/>
      <c r="R78" s="31"/>
      <c r="S78" s="25"/>
      <c r="T78" s="29"/>
      <c r="U78" s="27"/>
      <c r="V78" s="29"/>
    </row>
    <row r="79" spans="11:22" x14ac:dyDescent="0.2">
      <c r="K79" s="23" t="s">
        <v>26</v>
      </c>
      <c r="L79" s="32">
        <f>H2</f>
        <v>45259</v>
      </c>
      <c r="P79" s="26"/>
      <c r="Q79" s="33"/>
      <c r="R79" s="31"/>
      <c r="S79" s="25"/>
      <c r="T79" s="29"/>
      <c r="U79" s="27"/>
      <c r="V79" s="29"/>
    </row>
    <row r="80" spans="11:22" ht="16.5" customHeight="1" x14ac:dyDescent="0.25">
      <c r="K80" s="23"/>
      <c r="N80" s="74" t="s">
        <v>30</v>
      </c>
      <c r="O80" s="74"/>
      <c r="P80" s="74"/>
      <c r="Q80" s="74"/>
      <c r="R80" s="74"/>
      <c r="S80" s="74"/>
      <c r="T80" s="74"/>
      <c r="U80" s="27"/>
      <c r="V80" s="29"/>
    </row>
    <row r="81" spans="11:22" x14ac:dyDescent="0.2">
      <c r="K81" s="23"/>
      <c r="Q81" s="26"/>
      <c r="R81" s="31"/>
      <c r="S81" s="31"/>
      <c r="U81" s="27"/>
      <c r="V81" s="29"/>
    </row>
    <row r="82" spans="11:22" ht="27" x14ac:dyDescent="0.2">
      <c r="K82" s="54" t="s">
        <v>31</v>
      </c>
      <c r="L82" s="55" t="s">
        <v>32</v>
      </c>
      <c r="N82" s="38"/>
      <c r="O82" s="38"/>
      <c r="P82" s="38"/>
      <c r="Q82" s="29"/>
      <c r="R82" s="29"/>
      <c r="S82" s="29"/>
      <c r="T82" s="29"/>
      <c r="U82" s="39"/>
      <c r="V82" s="37"/>
    </row>
    <row r="83" spans="11:22" x14ac:dyDescent="0.2">
      <c r="K83" s="56">
        <v>0</v>
      </c>
      <c r="L83" s="44">
        <v>0</v>
      </c>
      <c r="M83" s="53"/>
      <c r="N83" s="53"/>
      <c r="O83" s="25"/>
      <c r="Q83" s="29"/>
      <c r="R83" s="29"/>
      <c r="S83" s="29"/>
      <c r="T83" s="29"/>
      <c r="U83" s="27"/>
      <c r="V83" s="29"/>
    </row>
    <row r="84" spans="11:22" x14ac:dyDescent="0.2">
      <c r="K84" s="42">
        <v>3.85</v>
      </c>
      <c r="L84" s="43">
        <v>0.14666666666666667</v>
      </c>
      <c r="M84" s="57"/>
      <c r="N84" s="57"/>
      <c r="O84" s="25"/>
      <c r="Q84" s="29"/>
      <c r="R84" s="29"/>
      <c r="S84" s="29"/>
      <c r="T84" s="29"/>
      <c r="U84" s="27"/>
      <c r="V84" s="29"/>
    </row>
    <row r="85" spans="11:22" x14ac:dyDescent="0.2">
      <c r="K85" s="42">
        <v>7.7</v>
      </c>
      <c r="L85" s="43">
        <v>0.41333333333333333</v>
      </c>
      <c r="M85" s="57"/>
      <c r="N85" s="57"/>
      <c r="O85" s="25"/>
      <c r="Q85" s="29"/>
      <c r="R85" s="29"/>
      <c r="S85" s="29"/>
      <c r="T85" s="29"/>
      <c r="U85" s="27"/>
      <c r="V85" s="29"/>
    </row>
    <row r="86" spans="11:22" x14ac:dyDescent="0.2">
      <c r="K86" s="42">
        <v>11.55</v>
      </c>
      <c r="L86" s="43">
        <v>0.78333333333333321</v>
      </c>
      <c r="M86" s="57"/>
      <c r="N86" s="57"/>
      <c r="O86" s="25"/>
      <c r="Q86" s="29"/>
      <c r="R86" s="29"/>
      <c r="S86" s="29"/>
      <c r="T86" s="29"/>
      <c r="U86" s="27"/>
      <c r="V86" s="29"/>
    </row>
    <row r="87" spans="11:22" x14ac:dyDescent="0.2">
      <c r="K87" s="42">
        <v>15.4</v>
      </c>
      <c r="L87" s="43">
        <v>1.2866666666666666</v>
      </c>
      <c r="M87" s="57"/>
      <c r="N87" s="57"/>
      <c r="O87" s="25"/>
      <c r="Q87" s="29"/>
      <c r="R87" s="29"/>
      <c r="S87" s="29"/>
      <c r="T87" s="29"/>
      <c r="U87" s="27"/>
      <c r="V87" s="29"/>
    </row>
    <row r="88" spans="11:22" x14ac:dyDescent="0.2">
      <c r="K88" s="42">
        <v>19.25</v>
      </c>
      <c r="L88" s="43">
        <v>3.2066666666666666</v>
      </c>
      <c r="M88" s="57"/>
      <c r="N88" s="57"/>
      <c r="O88" s="25"/>
      <c r="Q88" s="29"/>
      <c r="R88" s="29"/>
      <c r="S88" s="29"/>
      <c r="T88" s="29"/>
      <c r="U88" s="27"/>
      <c r="V88" s="29"/>
    </row>
    <row r="89" spans="11:22" x14ac:dyDescent="0.2">
      <c r="K89" s="42">
        <v>15.4</v>
      </c>
      <c r="L89" s="43">
        <v>3.2233333333333336</v>
      </c>
      <c r="M89" s="57"/>
      <c r="N89" s="57"/>
      <c r="O89" s="25"/>
      <c r="Q89" s="29"/>
      <c r="R89" s="29"/>
      <c r="S89" s="29"/>
      <c r="T89" s="29"/>
      <c r="U89" s="27"/>
      <c r="V89" s="29"/>
    </row>
    <row r="90" spans="11:22" x14ac:dyDescent="0.2">
      <c r="K90" s="45">
        <v>11.55</v>
      </c>
      <c r="L90" s="43">
        <v>3.1433333333333335</v>
      </c>
      <c r="M90" s="57"/>
      <c r="N90" s="57"/>
      <c r="O90" s="25"/>
      <c r="Q90" s="29"/>
      <c r="R90" s="29"/>
      <c r="S90" s="29"/>
      <c r="T90" s="29"/>
      <c r="U90" s="27"/>
      <c r="V90" s="29"/>
    </row>
    <row r="91" spans="11:22" x14ac:dyDescent="0.2">
      <c r="K91" s="45">
        <v>7.7</v>
      </c>
      <c r="L91" s="43">
        <v>3.0700000000000003</v>
      </c>
      <c r="M91" s="57"/>
      <c r="N91" s="57"/>
      <c r="O91" s="25"/>
      <c r="Q91" s="29"/>
      <c r="R91" s="29"/>
      <c r="S91" s="29"/>
      <c r="T91" s="29"/>
      <c r="U91" s="27"/>
      <c r="V91" s="29"/>
    </row>
    <row r="92" spans="11:22" x14ac:dyDescent="0.2">
      <c r="K92" s="45">
        <v>3.85</v>
      </c>
      <c r="L92" s="43">
        <v>3.0000000000000004</v>
      </c>
      <c r="M92" s="57"/>
      <c r="N92" s="25"/>
      <c r="O92" s="25"/>
      <c r="Q92" s="29"/>
      <c r="R92" s="29"/>
      <c r="S92" s="29"/>
      <c r="T92" s="29"/>
      <c r="U92" s="27"/>
      <c r="V92" s="29"/>
    </row>
    <row r="93" spans="11:22" x14ac:dyDescent="0.2">
      <c r="K93" s="45">
        <v>0</v>
      </c>
      <c r="L93" s="43">
        <v>2.8800000000000008</v>
      </c>
      <c r="M93" s="57"/>
      <c r="N93" s="25"/>
      <c r="O93" s="25"/>
      <c r="Q93" s="29"/>
      <c r="R93" s="29"/>
      <c r="S93" s="29"/>
      <c r="T93" s="29"/>
      <c r="U93" s="27"/>
      <c r="V93" s="29"/>
    </row>
    <row r="94" spans="11:22" x14ac:dyDescent="0.2">
      <c r="K94" s="46"/>
      <c r="L94" s="44"/>
      <c r="M94" s="57"/>
      <c r="N94" s="25"/>
      <c r="O94" s="25"/>
      <c r="Q94" s="29"/>
      <c r="R94" s="29"/>
      <c r="S94" s="29"/>
      <c r="T94" s="29"/>
      <c r="U94" s="27"/>
      <c r="V94" s="29"/>
    </row>
    <row r="95" spans="11:22" x14ac:dyDescent="0.2">
      <c r="K95" s="58"/>
      <c r="L95" s="44"/>
      <c r="M95" s="25"/>
      <c r="N95" s="25"/>
      <c r="O95" s="25"/>
      <c r="Q95" s="29"/>
      <c r="R95" s="29"/>
      <c r="S95" s="29"/>
      <c r="T95" s="29"/>
      <c r="U95" s="27"/>
      <c r="V95" s="29"/>
    </row>
    <row r="96" spans="11:22" x14ac:dyDescent="0.2">
      <c r="K96" s="59"/>
      <c r="L96" s="60"/>
      <c r="M96" s="25"/>
      <c r="N96" s="25"/>
      <c r="O96" s="25"/>
      <c r="Q96" s="29"/>
      <c r="R96" s="29"/>
      <c r="S96" s="29"/>
      <c r="T96" s="29"/>
      <c r="U96" s="27"/>
      <c r="V96" s="29"/>
    </row>
    <row r="97" spans="8:22" ht="13.5" thickBot="1" x14ac:dyDescent="0.25">
      <c r="K97" s="61"/>
      <c r="L97" s="62"/>
      <c r="M97" s="49"/>
      <c r="N97" s="49"/>
      <c r="O97" s="49"/>
      <c r="P97" s="50"/>
      <c r="Q97" s="50"/>
      <c r="R97" s="50"/>
      <c r="S97" s="50"/>
      <c r="T97" s="50"/>
      <c r="U97" s="51"/>
      <c r="V97" s="29"/>
    </row>
    <row r="98" spans="8:22" x14ac:dyDescent="0.2">
      <c r="H98" s="1">
        <v>4</v>
      </c>
      <c r="L98" s="26"/>
    </row>
    <row r="99" spans="8:22" x14ac:dyDescent="0.2">
      <c r="L99" s="26"/>
    </row>
    <row r="100" spans="8:22" ht="18.75" customHeight="1" x14ac:dyDescent="0.2"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</row>
  </sheetData>
  <mergeCells count="54">
    <mergeCell ref="K74:U74"/>
    <mergeCell ref="P77:Q77"/>
    <mergeCell ref="R77:S77"/>
    <mergeCell ref="N80:T80"/>
    <mergeCell ref="K100:U100"/>
    <mergeCell ref="K73:U73"/>
    <mergeCell ref="A30:A36"/>
    <mergeCell ref="B30:B36"/>
    <mergeCell ref="C30:C36"/>
    <mergeCell ref="H30:H35"/>
    <mergeCell ref="I30:I35"/>
    <mergeCell ref="A37:A39"/>
    <mergeCell ref="B37:B39"/>
    <mergeCell ref="C37:C39"/>
    <mergeCell ref="H37:H39"/>
    <mergeCell ref="I37:I39"/>
    <mergeCell ref="K46:U46"/>
    <mergeCell ref="K47:U47"/>
    <mergeCell ref="P50:Q50"/>
    <mergeCell ref="R50:S50"/>
    <mergeCell ref="N53:T53"/>
    <mergeCell ref="A16:A22"/>
    <mergeCell ref="B16:B22"/>
    <mergeCell ref="C16:C22"/>
    <mergeCell ref="H16:H21"/>
    <mergeCell ref="I16:I21"/>
    <mergeCell ref="A23:A29"/>
    <mergeCell ref="B23:B29"/>
    <mergeCell ref="C23:C29"/>
    <mergeCell ref="H23:H28"/>
    <mergeCell ref="I23:I28"/>
    <mergeCell ref="I9:I14"/>
    <mergeCell ref="A4:B4"/>
    <mergeCell ref="C4:D4"/>
    <mergeCell ref="E4:F4"/>
    <mergeCell ref="H4:I4"/>
    <mergeCell ref="A5:B5"/>
    <mergeCell ref="C5:D5"/>
    <mergeCell ref="E5:F5"/>
    <mergeCell ref="H5:I5"/>
    <mergeCell ref="E7:G7"/>
    <mergeCell ref="A9:A15"/>
    <mergeCell ref="B9:B15"/>
    <mergeCell ref="C9:C15"/>
    <mergeCell ref="H9:H14"/>
    <mergeCell ref="A3:B3"/>
    <mergeCell ref="C3:D3"/>
    <mergeCell ref="E3:F3"/>
    <mergeCell ref="H3:I3"/>
    <mergeCell ref="A1:I1"/>
    <mergeCell ref="A2:B2"/>
    <mergeCell ref="C2:D2"/>
    <mergeCell ref="E2:F2"/>
    <mergeCell ref="H2:I2"/>
  </mergeCells>
  <pageMargins left="1.41" right="0.22" top="1" bottom="0.65" header="0.5" footer="0.5"/>
  <pageSetup scale="8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9C12-EE66-4779-B82D-B8C452692FDB}">
  <dimension ref="A1:U100"/>
  <sheetViews>
    <sheetView topLeftCell="A72" zoomScale="85" zoomScaleNormal="85" workbookViewId="0">
      <selection activeCell="H94" sqref="H94"/>
    </sheetView>
  </sheetViews>
  <sheetFormatPr defaultRowHeight="12.75" x14ac:dyDescent="0.2"/>
  <cols>
    <col min="1" max="2" width="10.5703125" style="1" customWidth="1"/>
    <col min="3" max="3" width="10.5703125" style="1" hidden="1" customWidth="1"/>
    <col min="4" max="5" width="10.5703125" style="1" customWidth="1"/>
    <col min="6" max="6" width="32" style="1" customWidth="1"/>
    <col min="7" max="7" width="11.42578125" style="1" customWidth="1"/>
    <col min="8" max="8" width="11.7109375" style="1" customWidth="1"/>
    <col min="9" max="10" width="9.140625" style="1"/>
    <col min="11" max="11" width="10.7109375" style="1" customWidth="1"/>
    <col min="12" max="19" width="9.140625" style="1"/>
    <col min="20" max="20" width="9.42578125" style="1" customWidth="1"/>
    <col min="21" max="181" width="9.140625" style="1"/>
    <col min="182" max="182" width="10.7109375" style="1" customWidth="1"/>
    <col min="183" max="190" width="9.140625" style="1"/>
    <col min="191" max="191" width="9.42578125" style="1" customWidth="1"/>
    <col min="192" max="437" width="9.140625" style="1"/>
    <col min="438" max="438" width="10.7109375" style="1" customWidth="1"/>
    <col min="439" max="446" width="9.140625" style="1"/>
    <col min="447" max="447" width="9.42578125" style="1" customWidth="1"/>
    <col min="448" max="693" width="9.140625" style="1"/>
    <col min="694" max="694" width="10.7109375" style="1" customWidth="1"/>
    <col min="695" max="702" width="9.140625" style="1"/>
    <col min="703" max="703" width="9.42578125" style="1" customWidth="1"/>
    <col min="704" max="949" width="9.140625" style="1"/>
    <col min="950" max="950" width="10.7109375" style="1" customWidth="1"/>
    <col min="951" max="958" width="9.140625" style="1"/>
    <col min="959" max="959" width="9.42578125" style="1" customWidth="1"/>
    <col min="960" max="1205" width="9.140625" style="1"/>
    <col min="1206" max="1206" width="10.7109375" style="1" customWidth="1"/>
    <col min="1207" max="1214" width="9.140625" style="1"/>
    <col min="1215" max="1215" width="9.42578125" style="1" customWidth="1"/>
    <col min="1216" max="1461" width="9.140625" style="1"/>
    <col min="1462" max="1462" width="10.7109375" style="1" customWidth="1"/>
    <col min="1463" max="1470" width="9.140625" style="1"/>
    <col min="1471" max="1471" width="9.42578125" style="1" customWidth="1"/>
    <col min="1472" max="1717" width="9.140625" style="1"/>
    <col min="1718" max="1718" width="10.7109375" style="1" customWidth="1"/>
    <col min="1719" max="1726" width="9.140625" style="1"/>
    <col min="1727" max="1727" width="9.42578125" style="1" customWidth="1"/>
    <col min="1728" max="1973" width="9.140625" style="1"/>
    <col min="1974" max="1974" width="10.7109375" style="1" customWidth="1"/>
    <col min="1975" max="1982" width="9.140625" style="1"/>
    <col min="1983" max="1983" width="9.42578125" style="1" customWidth="1"/>
    <col min="1984" max="2229" width="9.140625" style="1"/>
    <col min="2230" max="2230" width="10.7109375" style="1" customWidth="1"/>
    <col min="2231" max="2238" width="9.140625" style="1"/>
    <col min="2239" max="2239" width="9.42578125" style="1" customWidth="1"/>
    <col min="2240" max="2485" width="9.140625" style="1"/>
    <col min="2486" max="2486" width="10.7109375" style="1" customWidth="1"/>
    <col min="2487" max="2494" width="9.140625" style="1"/>
    <col min="2495" max="2495" width="9.42578125" style="1" customWidth="1"/>
    <col min="2496" max="2741" width="9.140625" style="1"/>
    <col min="2742" max="2742" width="10.7109375" style="1" customWidth="1"/>
    <col min="2743" max="2750" width="9.140625" style="1"/>
    <col min="2751" max="2751" width="9.42578125" style="1" customWidth="1"/>
    <col min="2752" max="2997" width="9.140625" style="1"/>
    <col min="2998" max="2998" width="10.7109375" style="1" customWidth="1"/>
    <col min="2999" max="3006" width="9.140625" style="1"/>
    <col min="3007" max="3007" width="9.42578125" style="1" customWidth="1"/>
    <col min="3008" max="3253" width="9.140625" style="1"/>
    <col min="3254" max="3254" width="10.7109375" style="1" customWidth="1"/>
    <col min="3255" max="3262" width="9.140625" style="1"/>
    <col min="3263" max="3263" width="9.42578125" style="1" customWidth="1"/>
    <col min="3264" max="3509" width="9.140625" style="1"/>
    <col min="3510" max="3510" width="10.7109375" style="1" customWidth="1"/>
    <col min="3511" max="3518" width="9.140625" style="1"/>
    <col min="3519" max="3519" width="9.42578125" style="1" customWidth="1"/>
    <col min="3520" max="3765" width="9.140625" style="1"/>
    <col min="3766" max="3766" width="10.7109375" style="1" customWidth="1"/>
    <col min="3767" max="3774" width="9.140625" style="1"/>
    <col min="3775" max="3775" width="9.42578125" style="1" customWidth="1"/>
    <col min="3776" max="4021" width="9.140625" style="1"/>
    <col min="4022" max="4022" width="10.7109375" style="1" customWidth="1"/>
    <col min="4023" max="4030" width="9.140625" style="1"/>
    <col min="4031" max="4031" width="9.42578125" style="1" customWidth="1"/>
    <col min="4032" max="4277" width="9.140625" style="1"/>
    <col min="4278" max="4278" width="10.7109375" style="1" customWidth="1"/>
    <col min="4279" max="4286" width="9.140625" style="1"/>
    <col min="4287" max="4287" width="9.42578125" style="1" customWidth="1"/>
    <col min="4288" max="4533" width="9.140625" style="1"/>
    <col min="4534" max="4534" width="10.7109375" style="1" customWidth="1"/>
    <col min="4535" max="4542" width="9.140625" style="1"/>
    <col min="4543" max="4543" width="9.42578125" style="1" customWidth="1"/>
    <col min="4544" max="4789" width="9.140625" style="1"/>
    <col min="4790" max="4790" width="10.7109375" style="1" customWidth="1"/>
    <col min="4791" max="4798" width="9.140625" style="1"/>
    <col min="4799" max="4799" width="9.42578125" style="1" customWidth="1"/>
    <col min="4800" max="5045" width="9.140625" style="1"/>
    <col min="5046" max="5046" width="10.7109375" style="1" customWidth="1"/>
    <col min="5047" max="5054" width="9.140625" style="1"/>
    <col min="5055" max="5055" width="9.42578125" style="1" customWidth="1"/>
    <col min="5056" max="5301" width="9.140625" style="1"/>
    <col min="5302" max="5302" width="10.7109375" style="1" customWidth="1"/>
    <col min="5303" max="5310" width="9.140625" style="1"/>
    <col min="5311" max="5311" width="9.42578125" style="1" customWidth="1"/>
    <col min="5312" max="5557" width="9.140625" style="1"/>
    <col min="5558" max="5558" width="10.7109375" style="1" customWidth="1"/>
    <col min="5559" max="5566" width="9.140625" style="1"/>
    <col min="5567" max="5567" width="9.42578125" style="1" customWidth="1"/>
    <col min="5568" max="5813" width="9.140625" style="1"/>
    <col min="5814" max="5814" width="10.7109375" style="1" customWidth="1"/>
    <col min="5815" max="5822" width="9.140625" style="1"/>
    <col min="5823" max="5823" width="9.42578125" style="1" customWidth="1"/>
    <col min="5824" max="6069" width="9.140625" style="1"/>
    <col min="6070" max="6070" width="10.7109375" style="1" customWidth="1"/>
    <col min="6071" max="6078" width="9.140625" style="1"/>
    <col min="6079" max="6079" width="9.42578125" style="1" customWidth="1"/>
    <col min="6080" max="6325" width="9.140625" style="1"/>
    <col min="6326" max="6326" width="10.7109375" style="1" customWidth="1"/>
    <col min="6327" max="6334" width="9.140625" style="1"/>
    <col min="6335" max="6335" width="9.42578125" style="1" customWidth="1"/>
    <col min="6336" max="6581" width="9.140625" style="1"/>
    <col min="6582" max="6582" width="10.7109375" style="1" customWidth="1"/>
    <col min="6583" max="6590" width="9.140625" style="1"/>
    <col min="6591" max="6591" width="9.42578125" style="1" customWidth="1"/>
    <col min="6592" max="6837" width="9.140625" style="1"/>
    <col min="6838" max="6838" width="10.7109375" style="1" customWidth="1"/>
    <col min="6839" max="6846" width="9.140625" style="1"/>
    <col min="6847" max="6847" width="9.42578125" style="1" customWidth="1"/>
    <col min="6848" max="7093" width="9.140625" style="1"/>
    <col min="7094" max="7094" width="10.7109375" style="1" customWidth="1"/>
    <col min="7095" max="7102" width="9.140625" style="1"/>
    <col min="7103" max="7103" width="9.42578125" style="1" customWidth="1"/>
    <col min="7104" max="7349" width="9.140625" style="1"/>
    <col min="7350" max="7350" width="10.7109375" style="1" customWidth="1"/>
    <col min="7351" max="7358" width="9.140625" style="1"/>
    <col min="7359" max="7359" width="9.42578125" style="1" customWidth="1"/>
    <col min="7360" max="7605" width="9.140625" style="1"/>
    <col min="7606" max="7606" width="10.7109375" style="1" customWidth="1"/>
    <col min="7607" max="7614" width="9.140625" style="1"/>
    <col min="7615" max="7615" width="9.42578125" style="1" customWidth="1"/>
    <col min="7616" max="7861" width="9.140625" style="1"/>
    <col min="7862" max="7862" width="10.7109375" style="1" customWidth="1"/>
    <col min="7863" max="7870" width="9.140625" style="1"/>
    <col min="7871" max="7871" width="9.42578125" style="1" customWidth="1"/>
    <col min="7872" max="8117" width="9.140625" style="1"/>
    <col min="8118" max="8118" width="10.7109375" style="1" customWidth="1"/>
    <col min="8119" max="8126" width="9.140625" style="1"/>
    <col min="8127" max="8127" width="9.42578125" style="1" customWidth="1"/>
    <col min="8128" max="8373" width="9.140625" style="1"/>
    <col min="8374" max="8374" width="10.7109375" style="1" customWidth="1"/>
    <col min="8375" max="8382" width="9.140625" style="1"/>
    <col min="8383" max="8383" width="9.42578125" style="1" customWidth="1"/>
    <col min="8384" max="8629" width="9.140625" style="1"/>
    <col min="8630" max="8630" width="10.7109375" style="1" customWidth="1"/>
    <col min="8631" max="8638" width="9.140625" style="1"/>
    <col min="8639" max="8639" width="9.42578125" style="1" customWidth="1"/>
    <col min="8640" max="8885" width="9.140625" style="1"/>
    <col min="8886" max="8886" width="10.7109375" style="1" customWidth="1"/>
    <col min="8887" max="8894" width="9.140625" style="1"/>
    <col min="8895" max="8895" width="9.42578125" style="1" customWidth="1"/>
    <col min="8896" max="9141" width="9.140625" style="1"/>
    <col min="9142" max="9142" width="10.7109375" style="1" customWidth="1"/>
    <col min="9143" max="9150" width="9.140625" style="1"/>
    <col min="9151" max="9151" width="9.42578125" style="1" customWidth="1"/>
    <col min="9152" max="9397" width="9.140625" style="1"/>
    <col min="9398" max="9398" width="10.7109375" style="1" customWidth="1"/>
    <col min="9399" max="9406" width="9.140625" style="1"/>
    <col min="9407" max="9407" width="9.42578125" style="1" customWidth="1"/>
    <col min="9408" max="9653" width="9.140625" style="1"/>
    <col min="9654" max="9654" width="10.7109375" style="1" customWidth="1"/>
    <col min="9655" max="9662" width="9.140625" style="1"/>
    <col min="9663" max="9663" width="9.42578125" style="1" customWidth="1"/>
    <col min="9664" max="9909" width="9.140625" style="1"/>
    <col min="9910" max="9910" width="10.7109375" style="1" customWidth="1"/>
    <col min="9911" max="9918" width="9.140625" style="1"/>
    <col min="9919" max="9919" width="9.42578125" style="1" customWidth="1"/>
    <col min="9920" max="10165" width="9.140625" style="1"/>
    <col min="10166" max="10166" width="10.7109375" style="1" customWidth="1"/>
    <col min="10167" max="10174" width="9.140625" style="1"/>
    <col min="10175" max="10175" width="9.42578125" style="1" customWidth="1"/>
    <col min="10176" max="10421" width="9.140625" style="1"/>
    <col min="10422" max="10422" width="10.7109375" style="1" customWidth="1"/>
    <col min="10423" max="10430" width="9.140625" style="1"/>
    <col min="10431" max="10431" width="9.42578125" style="1" customWidth="1"/>
    <col min="10432" max="10677" width="9.140625" style="1"/>
    <col min="10678" max="10678" width="10.7109375" style="1" customWidth="1"/>
    <col min="10679" max="10686" width="9.140625" style="1"/>
    <col min="10687" max="10687" width="9.42578125" style="1" customWidth="1"/>
    <col min="10688" max="10933" width="9.140625" style="1"/>
    <col min="10934" max="10934" width="10.7109375" style="1" customWidth="1"/>
    <col min="10935" max="10942" width="9.140625" style="1"/>
    <col min="10943" max="10943" width="9.42578125" style="1" customWidth="1"/>
    <col min="10944" max="11189" width="9.140625" style="1"/>
    <col min="11190" max="11190" width="10.7109375" style="1" customWidth="1"/>
    <col min="11191" max="11198" width="9.140625" style="1"/>
    <col min="11199" max="11199" width="9.42578125" style="1" customWidth="1"/>
    <col min="11200" max="11445" width="9.140625" style="1"/>
    <col min="11446" max="11446" width="10.7109375" style="1" customWidth="1"/>
    <col min="11447" max="11454" width="9.140625" style="1"/>
    <col min="11455" max="11455" width="9.42578125" style="1" customWidth="1"/>
    <col min="11456" max="11701" width="9.140625" style="1"/>
    <col min="11702" max="11702" width="10.7109375" style="1" customWidth="1"/>
    <col min="11703" max="11710" width="9.140625" style="1"/>
    <col min="11711" max="11711" width="9.42578125" style="1" customWidth="1"/>
    <col min="11712" max="11957" width="9.140625" style="1"/>
    <col min="11958" max="11958" width="10.7109375" style="1" customWidth="1"/>
    <col min="11959" max="11966" width="9.140625" style="1"/>
    <col min="11967" max="11967" width="9.42578125" style="1" customWidth="1"/>
    <col min="11968" max="12213" width="9.140625" style="1"/>
    <col min="12214" max="12214" width="10.7109375" style="1" customWidth="1"/>
    <col min="12215" max="12222" width="9.140625" style="1"/>
    <col min="12223" max="12223" width="9.42578125" style="1" customWidth="1"/>
    <col min="12224" max="12469" width="9.140625" style="1"/>
    <col min="12470" max="12470" width="10.7109375" style="1" customWidth="1"/>
    <col min="12471" max="12478" width="9.140625" style="1"/>
    <col min="12479" max="12479" width="9.42578125" style="1" customWidth="1"/>
    <col min="12480" max="12725" width="9.140625" style="1"/>
    <col min="12726" max="12726" width="10.7109375" style="1" customWidth="1"/>
    <col min="12727" max="12734" width="9.140625" style="1"/>
    <col min="12735" max="12735" width="9.42578125" style="1" customWidth="1"/>
    <col min="12736" max="12981" width="9.140625" style="1"/>
    <col min="12982" max="12982" width="10.7109375" style="1" customWidth="1"/>
    <col min="12983" max="12990" width="9.140625" style="1"/>
    <col min="12991" max="12991" width="9.42578125" style="1" customWidth="1"/>
    <col min="12992" max="13237" width="9.140625" style="1"/>
    <col min="13238" max="13238" width="10.7109375" style="1" customWidth="1"/>
    <col min="13239" max="13246" width="9.140625" style="1"/>
    <col min="13247" max="13247" width="9.42578125" style="1" customWidth="1"/>
    <col min="13248" max="13493" width="9.140625" style="1"/>
    <col min="13494" max="13494" width="10.7109375" style="1" customWidth="1"/>
    <col min="13495" max="13502" width="9.140625" style="1"/>
    <col min="13503" max="13503" width="9.42578125" style="1" customWidth="1"/>
    <col min="13504" max="13749" width="9.140625" style="1"/>
    <col min="13750" max="13750" width="10.7109375" style="1" customWidth="1"/>
    <col min="13751" max="13758" width="9.140625" style="1"/>
    <col min="13759" max="13759" width="9.42578125" style="1" customWidth="1"/>
    <col min="13760" max="14005" width="9.140625" style="1"/>
    <col min="14006" max="14006" width="10.7109375" style="1" customWidth="1"/>
    <col min="14007" max="14014" width="9.140625" style="1"/>
    <col min="14015" max="14015" width="9.42578125" style="1" customWidth="1"/>
    <col min="14016" max="14261" width="9.140625" style="1"/>
    <col min="14262" max="14262" width="10.7109375" style="1" customWidth="1"/>
    <col min="14263" max="14270" width="9.140625" style="1"/>
    <col min="14271" max="14271" width="9.42578125" style="1" customWidth="1"/>
    <col min="14272" max="14517" width="9.140625" style="1"/>
    <col min="14518" max="14518" width="10.7109375" style="1" customWidth="1"/>
    <col min="14519" max="14526" width="9.140625" style="1"/>
    <col min="14527" max="14527" width="9.42578125" style="1" customWidth="1"/>
    <col min="14528" max="14773" width="9.140625" style="1"/>
    <col min="14774" max="14774" width="10.7109375" style="1" customWidth="1"/>
    <col min="14775" max="14782" width="9.140625" style="1"/>
    <col min="14783" max="14783" width="9.42578125" style="1" customWidth="1"/>
    <col min="14784" max="15029" width="9.140625" style="1"/>
    <col min="15030" max="15030" width="10.7109375" style="1" customWidth="1"/>
    <col min="15031" max="15038" width="9.140625" style="1"/>
    <col min="15039" max="15039" width="9.42578125" style="1" customWidth="1"/>
    <col min="15040" max="15285" width="9.140625" style="1"/>
    <col min="15286" max="15286" width="10.7109375" style="1" customWidth="1"/>
    <col min="15287" max="15294" width="9.140625" style="1"/>
    <col min="15295" max="15295" width="9.42578125" style="1" customWidth="1"/>
    <col min="15296" max="15541" width="9.140625" style="1"/>
    <col min="15542" max="15542" width="10.7109375" style="1" customWidth="1"/>
    <col min="15543" max="15550" width="9.140625" style="1"/>
    <col min="15551" max="15551" width="9.42578125" style="1" customWidth="1"/>
    <col min="15552" max="15797" width="9.140625" style="1"/>
    <col min="15798" max="15798" width="10.7109375" style="1" customWidth="1"/>
    <col min="15799" max="15806" width="9.140625" style="1"/>
    <col min="15807" max="15807" width="9.42578125" style="1" customWidth="1"/>
    <col min="15808" max="16053" width="9.140625" style="1"/>
    <col min="16054" max="16054" width="10.7109375" style="1" customWidth="1"/>
    <col min="16055" max="16062" width="9.140625" style="1"/>
    <col min="16063" max="16063" width="9.42578125" style="1" customWidth="1"/>
    <col min="16064" max="16384" width="9.140625" style="1"/>
  </cols>
  <sheetData>
    <row r="1" spans="1:8" ht="14.25" x14ac:dyDescent="0.2">
      <c r="A1" s="95" t="s">
        <v>35</v>
      </c>
      <c r="B1" s="96"/>
      <c r="C1" s="96"/>
      <c r="D1" s="96"/>
      <c r="E1" s="96"/>
      <c r="F1" s="96"/>
      <c r="G1" s="96"/>
      <c r="H1" s="97"/>
    </row>
    <row r="2" spans="1:8" ht="15" x14ac:dyDescent="0.2">
      <c r="A2" s="91" t="s">
        <v>0</v>
      </c>
      <c r="B2" s="92"/>
      <c r="C2" s="93" t="s">
        <v>36</v>
      </c>
      <c r="D2" s="93"/>
      <c r="E2" s="92" t="s">
        <v>1</v>
      </c>
      <c r="F2" s="92"/>
      <c r="G2" s="98">
        <v>45259</v>
      </c>
      <c r="H2" s="94"/>
    </row>
    <row r="3" spans="1:8" ht="15" x14ac:dyDescent="0.2">
      <c r="A3" s="91" t="s">
        <v>2</v>
      </c>
      <c r="B3" s="92"/>
      <c r="C3" s="93" t="s">
        <v>37</v>
      </c>
      <c r="D3" s="93"/>
      <c r="E3" s="92" t="s">
        <v>3</v>
      </c>
      <c r="F3" s="92"/>
      <c r="G3" s="93" t="s">
        <v>38</v>
      </c>
      <c r="H3" s="94"/>
    </row>
    <row r="4" spans="1:8" ht="15" x14ac:dyDescent="0.2">
      <c r="A4" s="91" t="s">
        <v>4</v>
      </c>
      <c r="B4" s="92"/>
      <c r="C4" s="93">
        <v>2</v>
      </c>
      <c r="D4" s="93"/>
      <c r="E4" s="92"/>
      <c r="F4" s="92"/>
      <c r="G4" s="93"/>
      <c r="H4" s="94"/>
    </row>
    <row r="5" spans="1:8" ht="15" x14ac:dyDescent="0.2">
      <c r="A5" s="91"/>
      <c r="B5" s="92"/>
      <c r="C5" s="93"/>
      <c r="D5" s="93"/>
      <c r="E5" s="92"/>
      <c r="F5" s="92"/>
      <c r="G5" s="93"/>
      <c r="H5" s="94"/>
    </row>
    <row r="6" spans="1:8" ht="15" x14ac:dyDescent="0.2">
      <c r="A6" s="2"/>
      <c r="B6" s="3"/>
      <c r="C6" s="3"/>
      <c r="D6" s="4"/>
      <c r="E6" s="4"/>
      <c r="F6" s="4"/>
      <c r="G6" s="3"/>
      <c r="H6" s="5"/>
    </row>
    <row r="7" spans="1:8" ht="42.75" x14ac:dyDescent="0.2">
      <c r="A7" s="6" t="s">
        <v>5</v>
      </c>
      <c r="B7" s="6" t="s">
        <v>6</v>
      </c>
      <c r="C7" s="6" t="s">
        <v>7</v>
      </c>
      <c r="D7" s="6" t="s">
        <v>8</v>
      </c>
      <c r="E7" s="87" t="s">
        <v>9</v>
      </c>
      <c r="F7" s="88"/>
      <c r="G7" s="6" t="s">
        <v>10</v>
      </c>
      <c r="H7" s="6" t="s">
        <v>11</v>
      </c>
    </row>
    <row r="8" spans="1:8" ht="16.5" x14ac:dyDescent="0.2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18</v>
      </c>
      <c r="H8" s="7" t="s">
        <v>18</v>
      </c>
    </row>
    <row r="9" spans="1:8" ht="15" x14ac:dyDescent="0.2">
      <c r="A9" s="79">
        <v>20</v>
      </c>
      <c r="B9" s="82">
        <f>A9*154/1000</f>
        <v>3.08</v>
      </c>
      <c r="C9" s="82">
        <f>B9/(0.07)</f>
        <v>44</v>
      </c>
      <c r="D9" s="8">
        <v>0</v>
      </c>
      <c r="E9" s="9">
        <v>7.0000000000000007E-2</v>
      </c>
      <c r="F9" s="9">
        <v>0.35</v>
      </c>
      <c r="G9" s="82">
        <f>(((E11-E9)+(F11-F9))/2)</f>
        <v>1.24</v>
      </c>
      <c r="H9" s="85">
        <f>G9</f>
        <v>1.24</v>
      </c>
    </row>
    <row r="10" spans="1:8" ht="15" x14ac:dyDescent="0.2">
      <c r="A10" s="80"/>
      <c r="B10" s="83"/>
      <c r="C10" s="83"/>
      <c r="D10" s="10">
        <v>15</v>
      </c>
      <c r="E10" s="11"/>
      <c r="F10" s="11"/>
      <c r="G10" s="83"/>
      <c r="H10" s="86"/>
    </row>
    <row r="11" spans="1:8" ht="15" x14ac:dyDescent="0.2">
      <c r="A11" s="80"/>
      <c r="B11" s="83"/>
      <c r="C11" s="83"/>
      <c r="D11" s="10">
        <v>30</v>
      </c>
      <c r="E11" s="11">
        <v>1.32</v>
      </c>
      <c r="F11" s="11">
        <v>1.58</v>
      </c>
      <c r="G11" s="83"/>
      <c r="H11" s="86"/>
    </row>
    <row r="12" spans="1:8" ht="15" hidden="1" customHeight="1" x14ac:dyDescent="0.2">
      <c r="A12" s="80"/>
      <c r="B12" s="83"/>
      <c r="C12" s="83"/>
      <c r="D12" s="10">
        <v>6.25</v>
      </c>
      <c r="E12" s="11"/>
      <c r="F12" s="11"/>
      <c r="G12" s="83"/>
      <c r="H12" s="86"/>
    </row>
    <row r="13" spans="1:8" ht="15" hidden="1" customHeight="1" x14ac:dyDescent="0.2">
      <c r="A13" s="80"/>
      <c r="B13" s="83"/>
      <c r="C13" s="83"/>
      <c r="D13" s="10">
        <v>9</v>
      </c>
      <c r="E13" s="11"/>
      <c r="F13" s="11"/>
      <c r="G13" s="83"/>
      <c r="H13" s="86"/>
    </row>
    <row r="14" spans="1:8" ht="15" hidden="1" customHeight="1" x14ac:dyDescent="0.2">
      <c r="A14" s="80"/>
      <c r="B14" s="83"/>
      <c r="C14" s="83"/>
      <c r="D14" s="12">
        <v>12</v>
      </c>
      <c r="E14" s="13"/>
      <c r="F14" s="13"/>
      <c r="G14" s="84"/>
      <c r="H14" s="90"/>
    </row>
    <row r="15" spans="1:8" ht="15" hidden="1" customHeight="1" x14ac:dyDescent="0.2">
      <c r="A15" s="81"/>
      <c r="B15" s="84"/>
      <c r="C15" s="84"/>
      <c r="D15" s="10">
        <v>16</v>
      </c>
      <c r="E15" s="11">
        <v>1.59</v>
      </c>
      <c r="F15" s="11">
        <v>1.27</v>
      </c>
      <c r="G15" s="64"/>
      <c r="H15" s="65"/>
    </row>
    <row r="16" spans="1:8" ht="15" x14ac:dyDescent="0.2">
      <c r="A16" s="79">
        <v>40</v>
      </c>
      <c r="B16" s="82">
        <f>A16*154/1000</f>
        <v>6.16</v>
      </c>
      <c r="C16" s="82">
        <f t="shared" ref="C16" si="0">B16/(0.07)</f>
        <v>88</v>
      </c>
      <c r="D16" s="8">
        <v>0</v>
      </c>
      <c r="E16" s="9">
        <f>E11</f>
        <v>1.32</v>
      </c>
      <c r="F16" s="9">
        <f>F11</f>
        <v>1.58</v>
      </c>
      <c r="G16" s="82">
        <f>(((E18-E16)+(F18-F16))/2)</f>
        <v>2.2949999999999999</v>
      </c>
      <c r="H16" s="82">
        <f>H9+G16</f>
        <v>3.5350000000000001</v>
      </c>
    </row>
    <row r="17" spans="1:8" ht="15" x14ac:dyDescent="0.2">
      <c r="A17" s="80"/>
      <c r="B17" s="83"/>
      <c r="C17" s="83"/>
      <c r="D17" s="10">
        <v>15</v>
      </c>
      <c r="E17" s="11"/>
      <c r="F17" s="11"/>
      <c r="G17" s="83"/>
      <c r="H17" s="83"/>
    </row>
    <row r="18" spans="1:8" ht="15" x14ac:dyDescent="0.2">
      <c r="A18" s="80"/>
      <c r="B18" s="83"/>
      <c r="C18" s="83"/>
      <c r="D18" s="10">
        <v>30</v>
      </c>
      <c r="E18" s="11">
        <v>3.73</v>
      </c>
      <c r="F18" s="11">
        <v>3.76</v>
      </c>
      <c r="G18" s="83"/>
      <c r="H18" s="83"/>
    </row>
    <row r="19" spans="1:8" ht="15" hidden="1" x14ac:dyDescent="0.2">
      <c r="A19" s="80"/>
      <c r="B19" s="83"/>
      <c r="C19" s="83"/>
      <c r="D19" s="10">
        <v>6.25</v>
      </c>
      <c r="E19" s="11"/>
      <c r="F19" s="11"/>
      <c r="G19" s="83"/>
      <c r="H19" s="83"/>
    </row>
    <row r="20" spans="1:8" ht="15" hidden="1" x14ac:dyDescent="0.2">
      <c r="A20" s="80"/>
      <c r="B20" s="83"/>
      <c r="C20" s="83"/>
      <c r="D20" s="10">
        <v>9</v>
      </c>
      <c r="E20" s="11"/>
      <c r="F20" s="11"/>
      <c r="G20" s="83"/>
      <c r="H20" s="83"/>
    </row>
    <row r="21" spans="1:8" ht="15" hidden="1" x14ac:dyDescent="0.2">
      <c r="A21" s="80"/>
      <c r="B21" s="83"/>
      <c r="C21" s="83"/>
      <c r="D21" s="12">
        <v>12</v>
      </c>
      <c r="E21" s="13"/>
      <c r="F21" s="13"/>
      <c r="G21" s="84"/>
      <c r="H21" s="84"/>
    </row>
    <row r="22" spans="1:8" ht="15" hidden="1" x14ac:dyDescent="0.2">
      <c r="A22" s="81"/>
      <c r="B22" s="84"/>
      <c r="C22" s="84"/>
      <c r="D22" s="10">
        <v>16</v>
      </c>
      <c r="E22" s="11">
        <v>2.35</v>
      </c>
      <c r="F22" s="11">
        <v>1.93</v>
      </c>
      <c r="G22" s="64"/>
      <c r="H22" s="64"/>
    </row>
    <row r="23" spans="1:8" ht="15" x14ac:dyDescent="0.2">
      <c r="A23" s="79">
        <v>60</v>
      </c>
      <c r="B23" s="82">
        <f>A23*154/1000</f>
        <v>9.24</v>
      </c>
      <c r="C23" s="82">
        <f t="shared" ref="C23" si="1">B23/(0.07)</f>
        <v>132</v>
      </c>
      <c r="D23" s="8">
        <v>0</v>
      </c>
      <c r="E23" s="9">
        <f>E18</f>
        <v>3.73</v>
      </c>
      <c r="F23" s="9">
        <f>F18</f>
        <v>3.76</v>
      </c>
      <c r="G23" s="82">
        <f>(((E25-E23)+(F25-F23))/2)</f>
        <v>1.8750000000000002</v>
      </c>
      <c r="H23" s="82">
        <f>H16+G23</f>
        <v>5.41</v>
      </c>
    </row>
    <row r="24" spans="1:8" ht="15" x14ac:dyDescent="0.2">
      <c r="A24" s="80"/>
      <c r="B24" s="83"/>
      <c r="C24" s="83"/>
      <c r="D24" s="10">
        <v>15</v>
      </c>
      <c r="E24" s="11"/>
      <c r="F24" s="11"/>
      <c r="G24" s="83"/>
      <c r="H24" s="83"/>
    </row>
    <row r="25" spans="1:8" ht="15" x14ac:dyDescent="0.2">
      <c r="A25" s="80"/>
      <c r="B25" s="83"/>
      <c r="C25" s="83"/>
      <c r="D25" s="10">
        <v>30</v>
      </c>
      <c r="E25" s="11">
        <v>5.42</v>
      </c>
      <c r="F25" s="11">
        <v>5.82</v>
      </c>
      <c r="G25" s="83"/>
      <c r="H25" s="83"/>
    </row>
    <row r="26" spans="1:8" ht="15" hidden="1" customHeight="1" x14ac:dyDescent="0.2">
      <c r="A26" s="80"/>
      <c r="B26" s="83"/>
      <c r="C26" s="83"/>
      <c r="D26" s="10">
        <v>6.25</v>
      </c>
      <c r="E26" s="11"/>
      <c r="F26" s="11"/>
      <c r="G26" s="83"/>
      <c r="H26" s="83"/>
    </row>
    <row r="27" spans="1:8" ht="15" hidden="1" customHeight="1" x14ac:dyDescent="0.2">
      <c r="A27" s="80"/>
      <c r="B27" s="83"/>
      <c r="C27" s="83"/>
      <c r="D27" s="10">
        <v>9</v>
      </c>
      <c r="E27" s="11"/>
      <c r="F27" s="11"/>
      <c r="G27" s="83"/>
      <c r="H27" s="83"/>
    </row>
    <row r="28" spans="1:8" ht="15" hidden="1" customHeight="1" x14ac:dyDescent="0.2">
      <c r="A28" s="80"/>
      <c r="B28" s="83"/>
      <c r="C28" s="83"/>
      <c r="D28" s="12">
        <v>12</v>
      </c>
      <c r="E28" s="11"/>
      <c r="F28" s="11"/>
      <c r="G28" s="84"/>
      <c r="H28" s="84"/>
    </row>
    <row r="29" spans="1:8" ht="15" hidden="1" x14ac:dyDescent="0.2">
      <c r="A29" s="81"/>
      <c r="B29" s="84"/>
      <c r="C29" s="84"/>
      <c r="D29" s="10">
        <v>16</v>
      </c>
      <c r="E29" s="11">
        <v>3.19</v>
      </c>
      <c r="F29" s="11">
        <v>2.5</v>
      </c>
      <c r="G29" s="64"/>
      <c r="H29" s="64"/>
    </row>
    <row r="30" spans="1:8" ht="15" x14ac:dyDescent="0.2">
      <c r="A30" s="79">
        <v>80</v>
      </c>
      <c r="B30" s="82">
        <f>A30*154/1000</f>
        <v>12.32</v>
      </c>
      <c r="C30" s="82">
        <f t="shared" ref="C30" si="2">B30/(0.07)</f>
        <v>176</v>
      </c>
      <c r="D30" s="8">
        <v>0</v>
      </c>
      <c r="E30" s="9">
        <f>E25</f>
        <v>5.42</v>
      </c>
      <c r="F30" s="9">
        <f>F25</f>
        <v>5.82</v>
      </c>
      <c r="G30" s="82">
        <f>(((E32-E30)+(F32-F30))/2)</f>
        <v>1.0399999999999996</v>
      </c>
      <c r="H30" s="82">
        <f>H23+G30</f>
        <v>6.4499999999999993</v>
      </c>
    </row>
    <row r="31" spans="1:8" ht="15" x14ac:dyDescent="0.2">
      <c r="A31" s="80"/>
      <c r="B31" s="83"/>
      <c r="C31" s="83"/>
      <c r="D31" s="10">
        <v>15</v>
      </c>
      <c r="E31" s="11"/>
      <c r="F31" s="11"/>
      <c r="G31" s="83"/>
      <c r="H31" s="83"/>
    </row>
    <row r="32" spans="1:8" ht="15" x14ac:dyDescent="0.2">
      <c r="A32" s="80"/>
      <c r="B32" s="83"/>
      <c r="C32" s="83"/>
      <c r="D32" s="10">
        <v>30</v>
      </c>
      <c r="E32" s="11">
        <v>6.97</v>
      </c>
      <c r="F32" s="11">
        <v>6.35</v>
      </c>
      <c r="G32" s="83"/>
      <c r="H32" s="83"/>
    </row>
    <row r="33" spans="1:20" ht="15" hidden="1" x14ac:dyDescent="0.2">
      <c r="A33" s="80"/>
      <c r="B33" s="83"/>
      <c r="C33" s="83"/>
      <c r="D33" s="10">
        <v>6.25</v>
      </c>
      <c r="E33" s="11"/>
      <c r="F33" s="11"/>
      <c r="G33" s="83"/>
      <c r="H33" s="83"/>
    </row>
    <row r="34" spans="1:20" ht="15" hidden="1" x14ac:dyDescent="0.2">
      <c r="A34" s="80"/>
      <c r="B34" s="83"/>
      <c r="C34" s="83"/>
      <c r="D34" s="10">
        <v>9</v>
      </c>
      <c r="E34" s="11"/>
      <c r="F34" s="11"/>
      <c r="G34" s="83"/>
      <c r="H34" s="83"/>
    </row>
    <row r="35" spans="1:20" ht="15" hidden="1" x14ac:dyDescent="0.2">
      <c r="A35" s="80"/>
      <c r="B35" s="83"/>
      <c r="C35" s="83"/>
      <c r="D35" s="12">
        <v>12</v>
      </c>
      <c r="E35" s="11"/>
      <c r="F35" s="11"/>
      <c r="G35" s="84"/>
      <c r="H35" s="84"/>
    </row>
    <row r="36" spans="1:20" ht="15" hidden="1" x14ac:dyDescent="0.2">
      <c r="A36" s="81"/>
      <c r="B36" s="84"/>
      <c r="C36" s="84"/>
      <c r="D36" s="10">
        <v>16</v>
      </c>
      <c r="E36" s="11">
        <v>4.0999999999999996</v>
      </c>
      <c r="F36" s="11">
        <v>2.9</v>
      </c>
      <c r="G36" s="64"/>
      <c r="H36" s="65"/>
    </row>
    <row r="37" spans="1:20" ht="15" x14ac:dyDescent="0.2">
      <c r="A37" s="79">
        <v>95</v>
      </c>
      <c r="B37" s="82">
        <f>A37*154/1000</f>
        <v>14.63</v>
      </c>
      <c r="C37" s="82">
        <f>B37/(0.07)</f>
        <v>209</v>
      </c>
      <c r="D37" s="8">
        <v>0</v>
      </c>
      <c r="E37" s="9">
        <f>E32</f>
        <v>6.97</v>
      </c>
      <c r="F37" s="9">
        <f>F32</f>
        <v>6.35</v>
      </c>
      <c r="G37" s="82">
        <f>(((E39-E37)+(F39-F37))/2)</f>
        <v>1.4149999999999996</v>
      </c>
      <c r="H37" s="85">
        <f>H30+G37</f>
        <v>7.8649999999999984</v>
      </c>
    </row>
    <row r="38" spans="1:20" ht="15" x14ac:dyDescent="0.2">
      <c r="A38" s="80"/>
      <c r="B38" s="83"/>
      <c r="C38" s="83"/>
      <c r="D38" s="10">
        <v>15</v>
      </c>
      <c r="E38" s="11"/>
      <c r="F38" s="11"/>
      <c r="G38" s="83"/>
      <c r="H38" s="86"/>
    </row>
    <row r="39" spans="1:20" ht="15" x14ac:dyDescent="0.2">
      <c r="A39" s="80"/>
      <c r="B39" s="83"/>
      <c r="C39" s="83"/>
      <c r="D39" s="10">
        <v>30</v>
      </c>
      <c r="E39" s="11">
        <v>8.0299999999999994</v>
      </c>
      <c r="F39" s="11">
        <v>8.1199999999999992</v>
      </c>
      <c r="G39" s="83"/>
      <c r="H39" s="86"/>
    </row>
    <row r="40" spans="1:20" ht="15" x14ac:dyDescent="0.2">
      <c r="A40" s="14">
        <v>80</v>
      </c>
      <c r="B40" s="15">
        <f>A40*154/1000</f>
        <v>12.32</v>
      </c>
      <c r="C40" s="15">
        <f>B40/(0.07)</f>
        <v>176</v>
      </c>
      <c r="D40" s="14">
        <v>0</v>
      </c>
      <c r="E40" s="16">
        <v>7.95</v>
      </c>
      <c r="F40" s="16">
        <v>7.98</v>
      </c>
      <c r="G40" s="66">
        <f>(((E40-E39)+(F40-F39))/2)</f>
        <v>-0.10999999999999899</v>
      </c>
      <c r="H40" s="67">
        <f>H37+G40</f>
        <v>7.754999999999999</v>
      </c>
    </row>
    <row r="41" spans="1:20" ht="15" x14ac:dyDescent="0.2">
      <c r="A41" s="14">
        <v>60</v>
      </c>
      <c r="B41" s="15">
        <f t="shared" ref="B41:B42" si="3">A41*154/1000</f>
        <v>9.24</v>
      </c>
      <c r="C41" s="15">
        <f t="shared" ref="C41:C43" si="4">B41/(0.07)</f>
        <v>132</v>
      </c>
      <c r="D41" s="14">
        <v>0</v>
      </c>
      <c r="E41" s="16">
        <v>7.65</v>
      </c>
      <c r="F41" s="16">
        <v>7.72</v>
      </c>
      <c r="G41" s="66">
        <f>(((E41-E40)+(F41-F40))/2)</f>
        <v>-0.28000000000000025</v>
      </c>
      <c r="H41" s="67">
        <f>H40+G41</f>
        <v>7.4749999999999988</v>
      </c>
    </row>
    <row r="42" spans="1:20" ht="15" x14ac:dyDescent="0.2">
      <c r="A42" s="14">
        <v>40</v>
      </c>
      <c r="B42" s="15">
        <f t="shared" si="3"/>
        <v>6.16</v>
      </c>
      <c r="C42" s="15">
        <f t="shared" si="4"/>
        <v>88</v>
      </c>
      <c r="D42" s="14">
        <v>0</v>
      </c>
      <c r="E42" s="16">
        <v>6.9</v>
      </c>
      <c r="F42" s="16">
        <v>6.91</v>
      </c>
      <c r="G42" s="66">
        <f>(((E42-E41)+(F42-F41))/2)</f>
        <v>-0.7799999999999998</v>
      </c>
      <c r="H42" s="67">
        <f>H41+G42</f>
        <v>6.6949999999999985</v>
      </c>
    </row>
    <row r="43" spans="1:20" ht="15" x14ac:dyDescent="0.2">
      <c r="A43" s="14">
        <v>20</v>
      </c>
      <c r="B43" s="15">
        <f>A43*154/1000</f>
        <v>3.08</v>
      </c>
      <c r="C43" s="15">
        <f t="shared" si="4"/>
        <v>44</v>
      </c>
      <c r="D43" s="12">
        <v>0</v>
      </c>
      <c r="E43" s="13">
        <v>6.28</v>
      </c>
      <c r="F43" s="13">
        <v>6.21</v>
      </c>
      <c r="G43" s="66">
        <f>(((E43-E42)+(F43-F42))/2)</f>
        <v>-0.66000000000000014</v>
      </c>
      <c r="H43" s="67">
        <f>H42+G43</f>
        <v>6.0349999999999984</v>
      </c>
    </row>
    <row r="44" spans="1:20" ht="15" x14ac:dyDescent="0.2">
      <c r="A44" s="17">
        <v>0</v>
      </c>
      <c r="B44" s="15">
        <f>A44*154/1000</f>
        <v>0</v>
      </c>
      <c r="C44" s="17"/>
      <c r="D44" s="14">
        <v>0</v>
      </c>
      <c r="E44" s="13">
        <v>5.5</v>
      </c>
      <c r="F44" s="13">
        <v>5.0999999999999996</v>
      </c>
      <c r="G44" s="66">
        <f>(((E44-E43)+(F44-F43))/2)</f>
        <v>-0.94500000000000028</v>
      </c>
      <c r="H44" s="67">
        <f>H43+G44</f>
        <v>5.0899999999999981</v>
      </c>
    </row>
    <row r="45" spans="1:20" ht="15.75" thickBot="1" x14ac:dyDescent="0.25">
      <c r="A45" s="17"/>
      <c r="B45" s="17"/>
      <c r="C45" s="17"/>
      <c r="D45" s="17"/>
      <c r="E45" s="17"/>
      <c r="F45" s="17"/>
      <c r="G45" s="17"/>
      <c r="H45" s="17"/>
    </row>
    <row r="46" spans="1:20" ht="16.5" thickBot="1" x14ac:dyDescent="0.25">
      <c r="A46" s="17"/>
      <c r="B46" s="17"/>
      <c r="C46" s="17"/>
      <c r="D46" s="17"/>
      <c r="E46" s="17"/>
      <c r="F46" s="17"/>
      <c r="G46" s="17"/>
      <c r="H46" s="17"/>
      <c r="J46" s="76" t="s">
        <v>19</v>
      </c>
      <c r="K46" s="77"/>
      <c r="L46" s="77"/>
      <c r="M46" s="77"/>
      <c r="N46" s="77"/>
      <c r="O46" s="77"/>
      <c r="P46" s="77"/>
      <c r="Q46" s="77"/>
      <c r="R46" s="77"/>
      <c r="S46" s="77"/>
      <c r="T46" s="78"/>
    </row>
    <row r="47" spans="1:20" ht="12.75" customHeight="1" x14ac:dyDescent="0.2">
      <c r="A47" s="17"/>
      <c r="B47" s="17"/>
      <c r="C47" s="17"/>
      <c r="D47" s="17"/>
      <c r="E47" s="17"/>
      <c r="F47" s="17"/>
      <c r="G47" s="17"/>
      <c r="H47" s="17"/>
      <c r="J47" s="69" t="str">
        <f>C2</f>
        <v>377 MLD</v>
      </c>
      <c r="K47" s="70"/>
      <c r="L47" s="70"/>
      <c r="M47" s="70"/>
      <c r="N47" s="70"/>
      <c r="O47" s="70"/>
      <c r="P47" s="70"/>
      <c r="Q47" s="70"/>
      <c r="R47" s="70"/>
      <c r="S47" s="70"/>
      <c r="T47" s="71"/>
    </row>
    <row r="48" spans="1:20" ht="15" x14ac:dyDescent="0.2">
      <c r="A48" s="17"/>
      <c r="B48" s="17"/>
      <c r="C48" s="17"/>
      <c r="D48" s="17"/>
      <c r="E48" s="17"/>
      <c r="F48" s="17"/>
      <c r="G48" s="17"/>
      <c r="H48" s="17"/>
      <c r="J48" s="18" t="s">
        <v>20</v>
      </c>
      <c r="K48" s="19">
        <f>C4</f>
        <v>2</v>
      </c>
      <c r="L48" s="20" t="s">
        <v>21</v>
      </c>
      <c r="M48" s="1" t="str">
        <f>C3</f>
        <v>GVPR</v>
      </c>
      <c r="N48" s="21"/>
      <c r="O48" s="19"/>
      <c r="P48" s="19"/>
      <c r="Q48" s="20"/>
      <c r="S48" s="19"/>
      <c r="T48" s="22"/>
    </row>
    <row r="49" spans="1:21" ht="15" x14ac:dyDescent="0.2">
      <c r="A49" s="17"/>
      <c r="B49" s="17"/>
      <c r="C49" s="17"/>
      <c r="D49" s="17"/>
      <c r="E49" s="17"/>
      <c r="F49" s="17"/>
      <c r="G49" s="17"/>
      <c r="H49" s="17"/>
      <c r="J49" s="23" t="s">
        <v>22</v>
      </c>
      <c r="K49" s="20" t="str">
        <f>G3</f>
        <v>T409</v>
      </c>
      <c r="O49" s="24"/>
      <c r="P49" s="25"/>
      <c r="R49" s="25"/>
      <c r="S49" s="26"/>
      <c r="T49" s="27"/>
    </row>
    <row r="50" spans="1:21" ht="15" x14ac:dyDescent="0.2">
      <c r="A50" s="17"/>
      <c r="B50" s="17"/>
      <c r="C50" s="17"/>
      <c r="D50" s="17"/>
      <c r="E50" s="17"/>
      <c r="F50" s="17"/>
      <c r="G50" s="17"/>
      <c r="H50" s="17"/>
      <c r="J50" s="23" t="s">
        <v>23</v>
      </c>
      <c r="K50" s="28" t="s">
        <v>33</v>
      </c>
      <c r="M50" s="29"/>
      <c r="N50" s="1" t="s">
        <v>24</v>
      </c>
      <c r="O50" s="72">
        <f>G4</f>
        <v>0</v>
      </c>
      <c r="P50" s="72"/>
      <c r="Q50" s="72">
        <f>G5</f>
        <v>0</v>
      </c>
      <c r="R50" s="72"/>
      <c r="S50" s="30"/>
      <c r="T50" s="27"/>
    </row>
    <row r="51" spans="1:21" ht="12.75" customHeight="1" x14ac:dyDescent="0.2">
      <c r="A51" s="17"/>
      <c r="B51" s="17"/>
      <c r="C51" s="17"/>
      <c r="D51" s="17"/>
      <c r="E51" s="17"/>
      <c r="F51" s="17"/>
      <c r="G51" s="17"/>
      <c r="H51" s="17"/>
      <c r="J51" s="23" t="s">
        <v>25</v>
      </c>
      <c r="K51" s="1">
        <f>C5</f>
        <v>0</v>
      </c>
      <c r="M51" s="29"/>
      <c r="O51" s="26"/>
      <c r="P51" s="25"/>
      <c r="Q51" s="31"/>
      <c r="R51" s="25"/>
      <c r="S51" s="29"/>
      <c r="T51" s="27"/>
    </row>
    <row r="52" spans="1:21" ht="12.75" customHeight="1" x14ac:dyDescent="0.2">
      <c r="A52" s="17"/>
      <c r="B52" s="17"/>
      <c r="C52" s="17"/>
      <c r="D52" s="17"/>
      <c r="E52" s="17"/>
      <c r="F52" s="17"/>
      <c r="G52" s="17"/>
      <c r="H52" s="17"/>
      <c r="J52" s="23" t="s">
        <v>26</v>
      </c>
      <c r="K52" s="32">
        <f>G2</f>
        <v>45259</v>
      </c>
      <c r="O52" s="26"/>
      <c r="P52" s="33"/>
      <c r="Q52" s="31"/>
      <c r="R52" s="25"/>
      <c r="S52" s="29"/>
      <c r="T52" s="27"/>
    </row>
    <row r="53" spans="1:21" ht="16.5" customHeight="1" x14ac:dyDescent="0.25">
      <c r="A53" s="17"/>
      <c r="B53" s="17"/>
      <c r="C53" s="17"/>
      <c r="D53" s="17"/>
      <c r="E53" s="17"/>
      <c r="F53" s="17"/>
      <c r="G53" s="17"/>
      <c r="H53" s="17"/>
      <c r="J53" s="23"/>
      <c r="M53" s="74" t="s">
        <v>27</v>
      </c>
      <c r="N53" s="74"/>
      <c r="O53" s="74"/>
      <c r="P53" s="74"/>
      <c r="Q53" s="74"/>
      <c r="R53" s="74"/>
      <c r="S53" s="74"/>
      <c r="T53" s="27"/>
    </row>
    <row r="54" spans="1:21" ht="15.75" x14ac:dyDescent="0.25">
      <c r="A54" s="17"/>
      <c r="B54" s="17"/>
      <c r="C54" s="17"/>
      <c r="D54" s="17"/>
      <c r="E54" s="17"/>
      <c r="F54" s="17"/>
      <c r="G54" s="17"/>
      <c r="H54" s="17"/>
      <c r="J54" s="23"/>
      <c r="O54" s="34"/>
      <c r="P54" s="31"/>
      <c r="Q54" s="31"/>
      <c r="R54" s="31"/>
      <c r="T54" s="27"/>
      <c r="U54" s="29"/>
    </row>
    <row r="55" spans="1:21" ht="38.25" x14ac:dyDescent="0.2">
      <c r="A55" s="17"/>
      <c r="B55" s="17"/>
      <c r="C55" s="17"/>
      <c r="D55" s="17"/>
      <c r="E55" s="17"/>
      <c r="F55" s="17"/>
      <c r="G55" s="17"/>
      <c r="H55" s="17"/>
      <c r="J55" s="35" t="s">
        <v>28</v>
      </c>
      <c r="K55" s="36" t="s">
        <v>29</v>
      </c>
      <c r="L55" s="37"/>
      <c r="M55" s="38"/>
      <c r="N55" s="38"/>
      <c r="O55" s="38"/>
      <c r="P55" s="29"/>
      <c r="Q55" s="29"/>
      <c r="R55" s="29"/>
      <c r="S55" s="29"/>
      <c r="T55" s="39"/>
      <c r="U55" s="37"/>
    </row>
    <row r="56" spans="1:21" ht="15" x14ac:dyDescent="0.2">
      <c r="A56" s="17"/>
      <c r="B56" s="17"/>
      <c r="C56" s="17"/>
      <c r="D56" s="17"/>
      <c r="E56" s="17"/>
      <c r="F56" s="17"/>
      <c r="G56" s="17"/>
      <c r="H56" s="17"/>
      <c r="J56" s="40"/>
      <c r="K56" s="41"/>
      <c r="L56" s="25"/>
      <c r="M56" s="25"/>
      <c r="N56" s="25"/>
      <c r="P56" s="29"/>
      <c r="Q56" s="29"/>
      <c r="R56" s="29"/>
      <c r="S56" s="29"/>
      <c r="T56" s="27"/>
      <c r="U56" s="29"/>
    </row>
    <row r="57" spans="1:21" ht="15" x14ac:dyDescent="0.2">
      <c r="A57" s="17"/>
      <c r="B57" s="17"/>
      <c r="C57" s="17"/>
      <c r="D57" s="17"/>
      <c r="E57" s="17"/>
      <c r="F57" s="17"/>
      <c r="G57" s="17"/>
      <c r="H57" s="17"/>
      <c r="J57" s="42">
        <f>B9</f>
        <v>3.08</v>
      </c>
      <c r="K57" s="43">
        <f>H9</f>
        <v>1.24</v>
      </c>
      <c r="L57" s="25"/>
      <c r="M57" s="25"/>
      <c r="N57" s="25"/>
      <c r="P57" s="29"/>
      <c r="Q57" s="29"/>
      <c r="R57" s="29"/>
      <c r="S57" s="29"/>
      <c r="T57" s="27"/>
      <c r="U57" s="29"/>
    </row>
    <row r="58" spans="1:21" ht="15" x14ac:dyDescent="0.2">
      <c r="A58" s="17"/>
      <c r="B58" s="17"/>
      <c r="C58" s="17"/>
      <c r="D58" s="17"/>
      <c r="E58" s="17"/>
      <c r="F58" s="17"/>
      <c r="G58" s="17"/>
      <c r="H58" s="17"/>
      <c r="J58" s="42">
        <f>B16</f>
        <v>6.16</v>
      </c>
      <c r="K58" s="43">
        <f>H16</f>
        <v>3.5350000000000001</v>
      </c>
      <c r="L58" s="25"/>
      <c r="M58" s="25"/>
      <c r="N58" s="25"/>
      <c r="P58" s="29"/>
      <c r="Q58" s="29"/>
      <c r="R58" s="29"/>
      <c r="S58" s="29"/>
      <c r="T58" s="27"/>
      <c r="U58" s="29"/>
    </row>
    <row r="59" spans="1:21" ht="15" x14ac:dyDescent="0.2">
      <c r="A59" s="17"/>
      <c r="B59" s="17"/>
      <c r="C59" s="17"/>
      <c r="D59" s="17"/>
      <c r="E59" s="17"/>
      <c r="F59" s="17"/>
      <c r="G59" s="17"/>
      <c r="H59" s="17"/>
      <c r="J59" s="42">
        <f>B23</f>
        <v>9.24</v>
      </c>
      <c r="K59" s="43">
        <f>H23</f>
        <v>5.41</v>
      </c>
      <c r="L59" s="25"/>
      <c r="M59" s="25"/>
      <c r="N59" s="25"/>
      <c r="P59" s="29"/>
      <c r="Q59" s="29"/>
      <c r="R59" s="29"/>
      <c r="S59" s="29"/>
      <c r="T59" s="27"/>
      <c r="U59" s="29"/>
    </row>
    <row r="60" spans="1:21" ht="15" x14ac:dyDescent="0.2">
      <c r="A60" s="17"/>
      <c r="B60" s="17"/>
      <c r="C60" s="17"/>
      <c r="D60" s="17"/>
      <c r="E60" s="17"/>
      <c r="F60" s="17"/>
      <c r="G60" s="17"/>
      <c r="H60" s="17"/>
      <c r="J60" s="42">
        <f>B30</f>
        <v>12.32</v>
      </c>
      <c r="K60" s="43">
        <f>H30</f>
        <v>6.4499999999999993</v>
      </c>
      <c r="L60" s="25"/>
      <c r="M60" s="25"/>
      <c r="N60" s="25"/>
      <c r="P60" s="29"/>
      <c r="Q60" s="29"/>
      <c r="R60" s="29"/>
      <c r="S60" s="29"/>
      <c r="T60" s="27"/>
      <c r="U60" s="29"/>
    </row>
    <row r="61" spans="1:21" ht="15" x14ac:dyDescent="0.2">
      <c r="A61" s="17"/>
      <c r="B61" s="17"/>
      <c r="C61" s="17"/>
      <c r="D61" s="17"/>
      <c r="E61" s="17"/>
      <c r="F61" s="17"/>
      <c r="G61" s="17"/>
      <c r="H61" s="17"/>
      <c r="J61" s="42">
        <f>B37</f>
        <v>14.63</v>
      </c>
      <c r="K61" s="43">
        <f>H37</f>
        <v>7.8649999999999984</v>
      </c>
      <c r="L61" s="25"/>
      <c r="M61" s="25"/>
      <c r="N61" s="25"/>
      <c r="P61" s="29"/>
      <c r="Q61" s="29"/>
      <c r="R61" s="29"/>
      <c r="S61" s="29"/>
      <c r="T61" s="27"/>
      <c r="U61" s="29"/>
    </row>
    <row r="62" spans="1:21" ht="15" x14ac:dyDescent="0.2">
      <c r="A62" s="17"/>
      <c r="B62" s="17"/>
      <c r="C62" s="17"/>
      <c r="D62" s="17"/>
      <c r="E62" s="17"/>
      <c r="F62" s="17"/>
      <c r="G62" s="17"/>
      <c r="H62" s="17"/>
      <c r="J62" s="42">
        <f>J60</f>
        <v>12.32</v>
      </c>
      <c r="K62" s="44">
        <v>7.754999999999999</v>
      </c>
      <c r="L62" s="25"/>
      <c r="M62" s="25"/>
      <c r="N62" s="25"/>
      <c r="P62" s="29"/>
      <c r="Q62" s="29"/>
      <c r="R62" s="29"/>
      <c r="S62" s="29"/>
      <c r="T62" s="27"/>
      <c r="U62" s="29"/>
    </row>
    <row r="63" spans="1:21" ht="15" x14ac:dyDescent="0.2">
      <c r="A63" s="17"/>
      <c r="B63" s="17"/>
      <c r="C63" s="17"/>
      <c r="D63" s="17"/>
      <c r="E63" s="17"/>
      <c r="F63" s="17"/>
      <c r="G63" s="17"/>
      <c r="H63" s="17"/>
      <c r="J63" s="68">
        <f>J59</f>
        <v>9.24</v>
      </c>
      <c r="K63" s="44">
        <v>7.4749999999999988</v>
      </c>
      <c r="L63" s="25"/>
      <c r="M63" s="25"/>
      <c r="N63" s="25"/>
      <c r="P63" s="29"/>
      <c r="Q63" s="29"/>
      <c r="R63" s="29"/>
      <c r="S63" s="29"/>
      <c r="T63" s="27"/>
      <c r="U63" s="29"/>
    </row>
    <row r="64" spans="1:21" x14ac:dyDescent="0.2">
      <c r="J64" s="68">
        <f>J58</f>
        <v>6.16</v>
      </c>
      <c r="K64" s="44">
        <v>6.6949999999999985</v>
      </c>
      <c r="L64" s="25"/>
      <c r="M64" s="25"/>
      <c r="N64" s="25"/>
      <c r="P64" s="29"/>
      <c r="Q64" s="29"/>
      <c r="R64" s="29"/>
      <c r="S64" s="29"/>
      <c r="T64" s="27"/>
      <c r="U64" s="29"/>
    </row>
    <row r="65" spans="5:21" x14ac:dyDescent="0.2">
      <c r="J65" s="68">
        <f>J57</f>
        <v>3.08</v>
      </c>
      <c r="K65" s="44">
        <v>6.0349999999999984</v>
      </c>
      <c r="L65" s="25"/>
      <c r="M65" s="25"/>
      <c r="N65" s="25"/>
      <c r="P65" s="29"/>
      <c r="Q65" s="29"/>
      <c r="R65" s="29"/>
      <c r="S65" s="29"/>
      <c r="T65" s="27"/>
      <c r="U65" s="29"/>
    </row>
    <row r="66" spans="5:21" x14ac:dyDescent="0.2">
      <c r="J66" s="45">
        <v>0</v>
      </c>
      <c r="K66" s="44">
        <v>5.0899999999999981</v>
      </c>
      <c r="L66" s="25"/>
      <c r="M66" s="25"/>
      <c r="N66" s="25"/>
      <c r="P66" s="29"/>
      <c r="Q66" s="29"/>
      <c r="R66" s="29"/>
      <c r="S66" s="29"/>
      <c r="T66" s="27"/>
      <c r="U66" s="29"/>
    </row>
    <row r="67" spans="5:21" x14ac:dyDescent="0.2">
      <c r="J67" s="46"/>
      <c r="K67" s="44"/>
      <c r="L67" s="25"/>
      <c r="M67" s="25"/>
      <c r="N67" s="25"/>
      <c r="P67" s="29"/>
      <c r="Q67" s="29"/>
      <c r="R67" s="29"/>
      <c r="S67" s="29"/>
      <c r="T67" s="27"/>
      <c r="U67" s="29"/>
    </row>
    <row r="68" spans="5:21" x14ac:dyDescent="0.2">
      <c r="J68" s="45"/>
      <c r="K68" s="44"/>
      <c r="L68" s="25"/>
      <c r="M68" s="25"/>
      <c r="N68" s="25"/>
      <c r="P68" s="29"/>
      <c r="Q68" s="29"/>
      <c r="R68" s="29"/>
      <c r="S68" s="29"/>
      <c r="T68" s="27"/>
      <c r="U68" s="29"/>
    </row>
    <row r="69" spans="5:21" x14ac:dyDescent="0.2">
      <c r="J69" s="45"/>
      <c r="K69" s="44"/>
      <c r="L69" s="25"/>
      <c r="M69" s="25"/>
      <c r="N69" s="25"/>
      <c r="P69" s="29"/>
      <c r="Q69" s="29"/>
      <c r="R69" s="29"/>
      <c r="S69" s="29"/>
      <c r="T69" s="27"/>
      <c r="U69" s="29"/>
    </row>
    <row r="70" spans="5:21" ht="13.5" thickBot="1" x14ac:dyDescent="0.25">
      <c r="J70" s="47"/>
      <c r="K70" s="48"/>
      <c r="L70" s="49"/>
      <c r="M70" s="49"/>
      <c r="N70" s="49"/>
      <c r="O70" s="50"/>
      <c r="P70" s="50"/>
      <c r="Q70" s="50"/>
      <c r="R70" s="50"/>
      <c r="S70" s="50"/>
      <c r="T70" s="51"/>
      <c r="U70" s="29"/>
    </row>
    <row r="72" spans="5:21" ht="13.5" thickBot="1" x14ac:dyDescent="0.25"/>
    <row r="73" spans="5:21" ht="16.5" thickBot="1" x14ac:dyDescent="0.25">
      <c r="J73" s="76" t="s">
        <v>19</v>
      </c>
      <c r="K73" s="77"/>
      <c r="L73" s="77"/>
      <c r="M73" s="77"/>
      <c r="N73" s="77"/>
      <c r="O73" s="77"/>
      <c r="P73" s="77"/>
      <c r="Q73" s="77"/>
      <c r="R73" s="77"/>
      <c r="S73" s="77"/>
      <c r="T73" s="78"/>
      <c r="U73" s="52"/>
    </row>
    <row r="74" spans="5:21" ht="12.75" customHeight="1" x14ac:dyDescent="0.2">
      <c r="J74" s="69" t="str">
        <f>C2</f>
        <v>377 MLD</v>
      </c>
      <c r="K74" s="70"/>
      <c r="L74" s="70"/>
      <c r="M74" s="70"/>
      <c r="N74" s="70"/>
      <c r="O74" s="70"/>
      <c r="P74" s="70"/>
      <c r="Q74" s="70"/>
      <c r="R74" s="70"/>
      <c r="S74" s="70"/>
      <c r="T74" s="71"/>
      <c r="U74" s="53"/>
    </row>
    <row r="75" spans="5:21" x14ac:dyDescent="0.2">
      <c r="J75" s="18" t="s">
        <v>20</v>
      </c>
      <c r="K75" s="19">
        <f>C4</f>
        <v>2</v>
      </c>
      <c r="L75" s="20" t="str">
        <f>L48</f>
        <v>Client</v>
      </c>
      <c r="M75" s="1" t="str">
        <f>M48</f>
        <v>GVPR</v>
      </c>
      <c r="N75" s="21"/>
      <c r="O75" s="19"/>
      <c r="P75" s="19"/>
      <c r="Q75" s="20"/>
      <c r="S75" s="19"/>
      <c r="T75" s="22"/>
      <c r="U75" s="19"/>
    </row>
    <row r="76" spans="5:21" x14ac:dyDescent="0.2">
      <c r="J76" s="23" t="s">
        <v>22</v>
      </c>
      <c r="K76" s="20" t="str">
        <f>G3</f>
        <v>T409</v>
      </c>
      <c r="O76" s="24"/>
      <c r="P76" s="25"/>
      <c r="R76" s="25"/>
      <c r="S76" s="26"/>
      <c r="T76" s="27"/>
      <c r="U76" s="29"/>
    </row>
    <row r="77" spans="5:21" x14ac:dyDescent="0.2">
      <c r="J77" s="23" t="s">
        <v>23</v>
      </c>
      <c r="K77" s="28"/>
      <c r="M77" s="29"/>
      <c r="N77" s="1" t="s">
        <v>24</v>
      </c>
      <c r="O77" s="72">
        <f>G4</f>
        <v>0</v>
      </c>
      <c r="P77" s="72"/>
      <c r="Q77" s="73">
        <f>G5</f>
        <v>0</v>
      </c>
      <c r="R77" s="73"/>
      <c r="T77" s="27"/>
      <c r="U77" s="29"/>
    </row>
    <row r="78" spans="5:21" x14ac:dyDescent="0.2">
      <c r="J78" s="23" t="s">
        <v>25</v>
      </c>
      <c r="K78" s="1">
        <f>C5</f>
        <v>0</v>
      </c>
      <c r="M78" s="29"/>
      <c r="O78" s="26"/>
      <c r="P78" s="25"/>
      <c r="Q78" s="31"/>
      <c r="R78" s="25"/>
      <c r="S78" s="29"/>
      <c r="T78" s="27"/>
      <c r="U78" s="29"/>
    </row>
    <row r="79" spans="5:21" x14ac:dyDescent="0.2">
      <c r="E79" s="1" t="s">
        <v>39</v>
      </c>
      <c r="J79" s="23" t="s">
        <v>26</v>
      </c>
      <c r="K79" s="32">
        <f>G2</f>
        <v>45259</v>
      </c>
      <c r="O79" s="26"/>
      <c r="P79" s="33"/>
      <c r="Q79" s="31"/>
      <c r="R79" s="25"/>
      <c r="S79" s="29"/>
      <c r="T79" s="27"/>
      <c r="U79" s="29"/>
    </row>
    <row r="80" spans="5:21" ht="16.5" customHeight="1" x14ac:dyDescent="0.25">
      <c r="J80" s="23"/>
      <c r="M80" s="74" t="s">
        <v>30</v>
      </c>
      <c r="N80" s="74"/>
      <c r="O80" s="74"/>
      <c r="P80" s="74"/>
      <c r="Q80" s="74"/>
      <c r="R80" s="74"/>
      <c r="S80" s="74"/>
      <c r="T80" s="27"/>
      <c r="U80" s="29"/>
    </row>
    <row r="81" spans="7:21" x14ac:dyDescent="0.2">
      <c r="J81" s="23"/>
      <c r="P81" s="26"/>
      <c r="Q81" s="31"/>
      <c r="R81" s="31"/>
      <c r="T81" s="27"/>
      <c r="U81" s="29"/>
    </row>
    <row r="82" spans="7:21" ht="27" x14ac:dyDescent="0.2">
      <c r="J82" s="54" t="s">
        <v>31</v>
      </c>
      <c r="K82" s="55" t="s">
        <v>32</v>
      </c>
      <c r="M82" s="38"/>
      <c r="N82" s="38"/>
      <c r="O82" s="38"/>
      <c r="P82" s="29"/>
      <c r="Q82" s="29"/>
      <c r="R82" s="29"/>
      <c r="S82" s="29"/>
      <c r="T82" s="39"/>
      <c r="U82" s="37"/>
    </row>
    <row r="83" spans="7:21" x14ac:dyDescent="0.2">
      <c r="J83" s="56">
        <v>0</v>
      </c>
      <c r="K83" s="44">
        <v>0</v>
      </c>
      <c r="L83" s="53"/>
      <c r="M83" s="53"/>
      <c r="N83" s="25"/>
      <c r="P83" s="29"/>
      <c r="Q83" s="29"/>
      <c r="R83" s="29"/>
      <c r="S83" s="29"/>
      <c r="T83" s="27"/>
      <c r="U83" s="29"/>
    </row>
    <row r="84" spans="7:21" x14ac:dyDescent="0.2">
      <c r="J84" s="42">
        <v>3.08</v>
      </c>
      <c r="K84" s="43">
        <v>1.24</v>
      </c>
      <c r="L84" s="57"/>
      <c r="M84" s="57"/>
      <c r="N84" s="25"/>
      <c r="P84" s="29"/>
      <c r="Q84" s="29"/>
      <c r="R84" s="29"/>
      <c r="S84" s="29"/>
      <c r="T84" s="27"/>
      <c r="U84" s="29"/>
    </row>
    <row r="85" spans="7:21" x14ac:dyDescent="0.2">
      <c r="J85" s="42">
        <v>6.16</v>
      </c>
      <c r="K85" s="43">
        <v>3.5350000000000001</v>
      </c>
      <c r="L85" s="57"/>
      <c r="M85" s="57"/>
      <c r="N85" s="25"/>
      <c r="P85" s="29"/>
      <c r="Q85" s="29"/>
      <c r="R85" s="29"/>
      <c r="S85" s="29"/>
      <c r="T85" s="27"/>
      <c r="U85" s="29"/>
    </row>
    <row r="86" spans="7:21" x14ac:dyDescent="0.2">
      <c r="J86" s="42">
        <v>9.24</v>
      </c>
      <c r="K86" s="43">
        <v>5.41</v>
      </c>
      <c r="L86" s="57"/>
      <c r="M86" s="57"/>
      <c r="N86" s="25"/>
      <c r="P86" s="29"/>
      <c r="Q86" s="29"/>
      <c r="R86" s="29"/>
      <c r="S86" s="29"/>
      <c r="T86" s="27"/>
      <c r="U86" s="29"/>
    </row>
    <row r="87" spans="7:21" x14ac:dyDescent="0.2">
      <c r="G87" s="1">
        <v>6.16</v>
      </c>
      <c r="H87" s="1">
        <v>3.54</v>
      </c>
      <c r="J87" s="42">
        <v>12.32</v>
      </c>
      <c r="K87" s="43">
        <v>6.4499999999999993</v>
      </c>
      <c r="L87" s="57"/>
      <c r="M87" s="57"/>
      <c r="N87" s="25"/>
      <c r="P87" s="29"/>
      <c r="Q87" s="29"/>
      <c r="R87" s="29"/>
      <c r="S87" s="29"/>
      <c r="T87" s="27"/>
      <c r="U87" s="29"/>
    </row>
    <row r="88" spans="7:21" x14ac:dyDescent="0.2">
      <c r="G88" s="1">
        <f>(G87*H88)/H87</f>
        <v>8.7005649717514117</v>
      </c>
      <c r="H88" s="1">
        <v>5</v>
      </c>
      <c r="J88" s="42">
        <v>14.63</v>
      </c>
      <c r="K88" s="43">
        <v>7.8649999999999984</v>
      </c>
      <c r="L88" s="57"/>
      <c r="M88" s="57"/>
      <c r="N88" s="25"/>
      <c r="P88" s="29"/>
      <c r="Q88" s="29"/>
      <c r="R88" s="29"/>
      <c r="S88" s="29"/>
      <c r="T88" s="27"/>
      <c r="U88" s="29"/>
    </row>
    <row r="89" spans="7:21" x14ac:dyDescent="0.2">
      <c r="G89" s="1">
        <v>9.24</v>
      </c>
      <c r="H89" s="1">
        <v>5.41</v>
      </c>
      <c r="J89" s="42">
        <v>12.32</v>
      </c>
      <c r="K89" s="43">
        <v>7.754999999999999</v>
      </c>
      <c r="L89" s="57"/>
      <c r="M89" s="57"/>
      <c r="N89" s="25"/>
      <c r="P89" s="29"/>
      <c r="Q89" s="29"/>
      <c r="R89" s="29"/>
      <c r="S89" s="29"/>
      <c r="T89" s="27"/>
      <c r="U89" s="29"/>
    </row>
    <row r="90" spans="7:21" x14ac:dyDescent="0.2">
      <c r="J90" s="45">
        <v>9.24</v>
      </c>
      <c r="K90" s="43">
        <v>7.4749999999999988</v>
      </c>
      <c r="L90" s="57"/>
      <c r="M90" s="57"/>
      <c r="N90" s="25"/>
      <c r="P90" s="29"/>
      <c r="Q90" s="29"/>
      <c r="R90" s="29"/>
      <c r="S90" s="29"/>
      <c r="T90" s="27"/>
      <c r="U90" s="29"/>
    </row>
    <row r="91" spans="7:21" x14ac:dyDescent="0.2">
      <c r="J91" s="45">
        <v>6.16</v>
      </c>
      <c r="K91" s="43">
        <v>6.6949999999999985</v>
      </c>
      <c r="L91" s="57"/>
      <c r="M91" s="57"/>
      <c r="N91" s="25"/>
      <c r="P91" s="29"/>
      <c r="Q91" s="29"/>
      <c r="R91" s="29"/>
      <c r="S91" s="29"/>
      <c r="T91" s="27"/>
      <c r="U91" s="29"/>
    </row>
    <row r="92" spans="7:21" x14ac:dyDescent="0.2">
      <c r="J92" s="45">
        <v>3.08</v>
      </c>
      <c r="K92" s="43">
        <v>6.0349999999999984</v>
      </c>
      <c r="L92" s="57"/>
      <c r="M92" s="25"/>
      <c r="N92" s="25"/>
      <c r="P92" s="29"/>
      <c r="Q92" s="29"/>
      <c r="R92" s="29"/>
      <c r="S92" s="29"/>
      <c r="T92" s="27"/>
      <c r="U92" s="29"/>
    </row>
    <row r="93" spans="7:21" x14ac:dyDescent="0.2">
      <c r="J93" s="45">
        <v>0</v>
      </c>
      <c r="K93" s="43">
        <v>5.0899999999999981</v>
      </c>
      <c r="L93" s="57"/>
      <c r="M93" s="25"/>
      <c r="N93" s="25"/>
      <c r="P93" s="29"/>
      <c r="Q93" s="29"/>
      <c r="R93" s="29"/>
      <c r="S93" s="29"/>
      <c r="T93" s="27"/>
      <c r="U93" s="29"/>
    </row>
    <row r="94" spans="7:21" x14ac:dyDescent="0.2">
      <c r="J94" s="46"/>
      <c r="K94" s="44"/>
      <c r="L94" s="57"/>
      <c r="M94" s="25"/>
      <c r="N94" s="25"/>
      <c r="P94" s="29"/>
      <c r="Q94" s="29"/>
      <c r="R94" s="29"/>
      <c r="S94" s="29"/>
      <c r="T94" s="27"/>
      <c r="U94" s="29"/>
    </row>
    <row r="95" spans="7:21" x14ac:dyDescent="0.2">
      <c r="J95" s="58"/>
      <c r="K95" s="44"/>
      <c r="L95" s="25"/>
      <c r="M95" s="25"/>
      <c r="N95" s="25"/>
      <c r="P95" s="29"/>
      <c r="Q95" s="29"/>
      <c r="R95" s="29"/>
      <c r="S95" s="29"/>
      <c r="T95" s="27"/>
      <c r="U95" s="29"/>
    </row>
    <row r="96" spans="7:21" x14ac:dyDescent="0.2">
      <c r="J96" s="59"/>
      <c r="K96" s="60"/>
      <c r="L96" s="25"/>
      <c r="M96" s="25"/>
      <c r="N96" s="25"/>
      <c r="P96" s="29"/>
      <c r="Q96" s="29"/>
      <c r="R96" s="29"/>
      <c r="S96" s="29"/>
      <c r="T96" s="27"/>
      <c r="U96" s="29"/>
    </row>
    <row r="97" spans="7:21" ht="13.5" thickBot="1" x14ac:dyDescent="0.25">
      <c r="J97" s="61"/>
      <c r="K97" s="62"/>
      <c r="L97" s="49"/>
      <c r="M97" s="49"/>
      <c r="N97" s="49"/>
      <c r="O97" s="50"/>
      <c r="P97" s="50"/>
      <c r="Q97" s="50"/>
      <c r="R97" s="50"/>
      <c r="S97" s="50"/>
      <c r="T97" s="51"/>
      <c r="U97" s="29"/>
    </row>
    <row r="98" spans="7:21" x14ac:dyDescent="0.2">
      <c r="G98" s="1">
        <v>4</v>
      </c>
      <c r="K98" s="26"/>
    </row>
    <row r="99" spans="7:21" x14ac:dyDescent="0.2">
      <c r="K99" s="26"/>
    </row>
    <row r="100" spans="7:21" ht="18.75" customHeight="1" x14ac:dyDescent="0.2"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</row>
  </sheetData>
  <mergeCells count="54">
    <mergeCell ref="J74:T74"/>
    <mergeCell ref="O77:P77"/>
    <mergeCell ref="Q77:R77"/>
    <mergeCell ref="M80:S80"/>
    <mergeCell ref="J100:T100"/>
    <mergeCell ref="J73:T73"/>
    <mergeCell ref="A30:A36"/>
    <mergeCell ref="B30:B36"/>
    <mergeCell ref="C30:C36"/>
    <mergeCell ref="G30:G35"/>
    <mergeCell ref="H30:H35"/>
    <mergeCell ref="A37:A39"/>
    <mergeCell ref="B37:B39"/>
    <mergeCell ref="C37:C39"/>
    <mergeCell ref="G37:G39"/>
    <mergeCell ref="H37:H39"/>
    <mergeCell ref="J46:T46"/>
    <mergeCell ref="J47:T47"/>
    <mergeCell ref="O50:P50"/>
    <mergeCell ref="Q50:R50"/>
    <mergeCell ref="M53:S53"/>
    <mergeCell ref="A16:A22"/>
    <mergeCell ref="B16:B22"/>
    <mergeCell ref="C16:C22"/>
    <mergeCell ref="G16:G21"/>
    <mergeCell ref="H16:H21"/>
    <mergeCell ref="A23:A29"/>
    <mergeCell ref="B23:B29"/>
    <mergeCell ref="C23:C29"/>
    <mergeCell ref="G23:G28"/>
    <mergeCell ref="H23:H28"/>
    <mergeCell ref="H9:H14"/>
    <mergeCell ref="A4:B4"/>
    <mergeCell ref="C4:D4"/>
    <mergeCell ref="E4:F4"/>
    <mergeCell ref="G4:H4"/>
    <mergeCell ref="A5:B5"/>
    <mergeCell ref="C5:D5"/>
    <mergeCell ref="E5:F5"/>
    <mergeCell ref="G5:H5"/>
    <mergeCell ref="E7:F7"/>
    <mergeCell ref="A9:A15"/>
    <mergeCell ref="B9:B15"/>
    <mergeCell ref="C9:C15"/>
    <mergeCell ref="G9:G14"/>
    <mergeCell ref="A3:B3"/>
    <mergeCell ref="C3:D3"/>
    <mergeCell ref="E3:F3"/>
    <mergeCell ref="G3:H3"/>
    <mergeCell ref="A1:H1"/>
    <mergeCell ref="A2:B2"/>
    <mergeCell ref="C2:D2"/>
    <mergeCell ref="E2:F2"/>
    <mergeCell ref="G2:H2"/>
  </mergeCells>
  <pageMargins left="1.41" right="0.22" top="1" bottom="0.65" header="0.5" footer="0.5"/>
  <pageSetup scale="8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67D5-4D67-45FD-8CF0-70852367EE97}">
  <dimension ref="A1:V100"/>
  <sheetViews>
    <sheetView zoomScale="130" zoomScaleNormal="130" workbookViewId="0">
      <selection activeCell="H9" sqref="H9:H14"/>
    </sheetView>
  </sheetViews>
  <sheetFormatPr defaultRowHeight="12.75" x14ac:dyDescent="0.2"/>
  <cols>
    <col min="1" max="2" width="10.5703125" style="1" customWidth="1"/>
    <col min="3" max="3" width="10.5703125" style="1" hidden="1" customWidth="1"/>
    <col min="4" max="6" width="10.5703125" style="1" customWidth="1"/>
    <col min="7" max="7" width="27.140625" style="1" hidden="1" customWidth="1"/>
    <col min="8" max="8" width="11.42578125" style="1" customWidth="1"/>
    <col min="9" max="9" width="11.7109375" style="1" customWidth="1"/>
    <col min="10" max="11" width="9.140625" style="1"/>
    <col min="12" max="12" width="10.7109375" style="1" customWidth="1"/>
    <col min="13" max="20" width="9.140625" style="1"/>
    <col min="21" max="21" width="9.42578125" style="1" customWidth="1"/>
    <col min="22" max="182" width="9.140625" style="1"/>
    <col min="183" max="183" width="10.7109375" style="1" customWidth="1"/>
    <col min="184" max="191" width="9.140625" style="1"/>
    <col min="192" max="192" width="9.42578125" style="1" customWidth="1"/>
    <col min="193" max="438" width="9.140625" style="1"/>
    <col min="439" max="439" width="10.7109375" style="1" customWidth="1"/>
    <col min="440" max="447" width="9.140625" style="1"/>
    <col min="448" max="448" width="9.42578125" style="1" customWidth="1"/>
    <col min="449" max="694" width="9.140625" style="1"/>
    <col min="695" max="695" width="10.7109375" style="1" customWidth="1"/>
    <col min="696" max="703" width="9.140625" style="1"/>
    <col min="704" max="704" width="9.42578125" style="1" customWidth="1"/>
    <col min="705" max="950" width="9.140625" style="1"/>
    <col min="951" max="951" width="10.7109375" style="1" customWidth="1"/>
    <col min="952" max="959" width="9.140625" style="1"/>
    <col min="960" max="960" width="9.42578125" style="1" customWidth="1"/>
    <col min="961" max="1206" width="9.140625" style="1"/>
    <col min="1207" max="1207" width="10.7109375" style="1" customWidth="1"/>
    <col min="1208" max="1215" width="9.140625" style="1"/>
    <col min="1216" max="1216" width="9.42578125" style="1" customWidth="1"/>
    <col min="1217" max="1462" width="9.140625" style="1"/>
    <col min="1463" max="1463" width="10.7109375" style="1" customWidth="1"/>
    <col min="1464" max="1471" width="9.140625" style="1"/>
    <col min="1472" max="1472" width="9.42578125" style="1" customWidth="1"/>
    <col min="1473" max="1718" width="9.140625" style="1"/>
    <col min="1719" max="1719" width="10.7109375" style="1" customWidth="1"/>
    <col min="1720" max="1727" width="9.140625" style="1"/>
    <col min="1728" max="1728" width="9.42578125" style="1" customWidth="1"/>
    <col min="1729" max="1974" width="9.140625" style="1"/>
    <col min="1975" max="1975" width="10.7109375" style="1" customWidth="1"/>
    <col min="1976" max="1983" width="9.140625" style="1"/>
    <col min="1984" max="1984" width="9.42578125" style="1" customWidth="1"/>
    <col min="1985" max="2230" width="9.140625" style="1"/>
    <col min="2231" max="2231" width="10.7109375" style="1" customWidth="1"/>
    <col min="2232" max="2239" width="9.140625" style="1"/>
    <col min="2240" max="2240" width="9.42578125" style="1" customWidth="1"/>
    <col min="2241" max="2486" width="9.140625" style="1"/>
    <col min="2487" max="2487" width="10.7109375" style="1" customWidth="1"/>
    <col min="2488" max="2495" width="9.140625" style="1"/>
    <col min="2496" max="2496" width="9.42578125" style="1" customWidth="1"/>
    <col min="2497" max="2742" width="9.140625" style="1"/>
    <col min="2743" max="2743" width="10.7109375" style="1" customWidth="1"/>
    <col min="2744" max="2751" width="9.140625" style="1"/>
    <col min="2752" max="2752" width="9.42578125" style="1" customWidth="1"/>
    <col min="2753" max="2998" width="9.140625" style="1"/>
    <col min="2999" max="2999" width="10.7109375" style="1" customWidth="1"/>
    <col min="3000" max="3007" width="9.140625" style="1"/>
    <col min="3008" max="3008" width="9.42578125" style="1" customWidth="1"/>
    <col min="3009" max="3254" width="9.140625" style="1"/>
    <col min="3255" max="3255" width="10.7109375" style="1" customWidth="1"/>
    <col min="3256" max="3263" width="9.140625" style="1"/>
    <col min="3264" max="3264" width="9.42578125" style="1" customWidth="1"/>
    <col min="3265" max="3510" width="9.140625" style="1"/>
    <col min="3511" max="3511" width="10.7109375" style="1" customWidth="1"/>
    <col min="3512" max="3519" width="9.140625" style="1"/>
    <col min="3520" max="3520" width="9.42578125" style="1" customWidth="1"/>
    <col min="3521" max="3766" width="9.140625" style="1"/>
    <col min="3767" max="3767" width="10.7109375" style="1" customWidth="1"/>
    <col min="3768" max="3775" width="9.140625" style="1"/>
    <col min="3776" max="3776" width="9.42578125" style="1" customWidth="1"/>
    <col min="3777" max="4022" width="9.140625" style="1"/>
    <col min="4023" max="4023" width="10.7109375" style="1" customWidth="1"/>
    <col min="4024" max="4031" width="9.140625" style="1"/>
    <col min="4032" max="4032" width="9.42578125" style="1" customWidth="1"/>
    <col min="4033" max="4278" width="9.140625" style="1"/>
    <col min="4279" max="4279" width="10.7109375" style="1" customWidth="1"/>
    <col min="4280" max="4287" width="9.140625" style="1"/>
    <col min="4288" max="4288" width="9.42578125" style="1" customWidth="1"/>
    <col min="4289" max="4534" width="9.140625" style="1"/>
    <col min="4535" max="4535" width="10.7109375" style="1" customWidth="1"/>
    <col min="4536" max="4543" width="9.140625" style="1"/>
    <col min="4544" max="4544" width="9.42578125" style="1" customWidth="1"/>
    <col min="4545" max="4790" width="9.140625" style="1"/>
    <col min="4791" max="4791" width="10.7109375" style="1" customWidth="1"/>
    <col min="4792" max="4799" width="9.140625" style="1"/>
    <col min="4800" max="4800" width="9.42578125" style="1" customWidth="1"/>
    <col min="4801" max="5046" width="9.140625" style="1"/>
    <col min="5047" max="5047" width="10.7109375" style="1" customWidth="1"/>
    <col min="5048" max="5055" width="9.140625" style="1"/>
    <col min="5056" max="5056" width="9.42578125" style="1" customWidth="1"/>
    <col min="5057" max="5302" width="9.140625" style="1"/>
    <col min="5303" max="5303" width="10.7109375" style="1" customWidth="1"/>
    <col min="5304" max="5311" width="9.140625" style="1"/>
    <col min="5312" max="5312" width="9.42578125" style="1" customWidth="1"/>
    <col min="5313" max="5558" width="9.140625" style="1"/>
    <col min="5559" max="5559" width="10.7109375" style="1" customWidth="1"/>
    <col min="5560" max="5567" width="9.140625" style="1"/>
    <col min="5568" max="5568" width="9.42578125" style="1" customWidth="1"/>
    <col min="5569" max="5814" width="9.140625" style="1"/>
    <col min="5815" max="5815" width="10.7109375" style="1" customWidth="1"/>
    <col min="5816" max="5823" width="9.140625" style="1"/>
    <col min="5824" max="5824" width="9.42578125" style="1" customWidth="1"/>
    <col min="5825" max="6070" width="9.140625" style="1"/>
    <col min="6071" max="6071" width="10.7109375" style="1" customWidth="1"/>
    <col min="6072" max="6079" width="9.140625" style="1"/>
    <col min="6080" max="6080" width="9.42578125" style="1" customWidth="1"/>
    <col min="6081" max="6326" width="9.140625" style="1"/>
    <col min="6327" max="6327" width="10.7109375" style="1" customWidth="1"/>
    <col min="6328" max="6335" width="9.140625" style="1"/>
    <col min="6336" max="6336" width="9.42578125" style="1" customWidth="1"/>
    <col min="6337" max="6582" width="9.140625" style="1"/>
    <col min="6583" max="6583" width="10.7109375" style="1" customWidth="1"/>
    <col min="6584" max="6591" width="9.140625" style="1"/>
    <col min="6592" max="6592" width="9.42578125" style="1" customWidth="1"/>
    <col min="6593" max="6838" width="9.140625" style="1"/>
    <col min="6839" max="6839" width="10.7109375" style="1" customWidth="1"/>
    <col min="6840" max="6847" width="9.140625" style="1"/>
    <col min="6848" max="6848" width="9.42578125" style="1" customWidth="1"/>
    <col min="6849" max="7094" width="9.140625" style="1"/>
    <col min="7095" max="7095" width="10.7109375" style="1" customWidth="1"/>
    <col min="7096" max="7103" width="9.140625" style="1"/>
    <col min="7104" max="7104" width="9.42578125" style="1" customWidth="1"/>
    <col min="7105" max="7350" width="9.140625" style="1"/>
    <col min="7351" max="7351" width="10.7109375" style="1" customWidth="1"/>
    <col min="7352" max="7359" width="9.140625" style="1"/>
    <col min="7360" max="7360" width="9.42578125" style="1" customWidth="1"/>
    <col min="7361" max="7606" width="9.140625" style="1"/>
    <col min="7607" max="7607" width="10.7109375" style="1" customWidth="1"/>
    <col min="7608" max="7615" width="9.140625" style="1"/>
    <col min="7616" max="7616" width="9.42578125" style="1" customWidth="1"/>
    <col min="7617" max="7862" width="9.140625" style="1"/>
    <col min="7863" max="7863" width="10.7109375" style="1" customWidth="1"/>
    <col min="7864" max="7871" width="9.140625" style="1"/>
    <col min="7872" max="7872" width="9.42578125" style="1" customWidth="1"/>
    <col min="7873" max="8118" width="9.140625" style="1"/>
    <col min="8119" max="8119" width="10.7109375" style="1" customWidth="1"/>
    <col min="8120" max="8127" width="9.140625" style="1"/>
    <col min="8128" max="8128" width="9.42578125" style="1" customWidth="1"/>
    <col min="8129" max="8374" width="9.140625" style="1"/>
    <col min="8375" max="8375" width="10.7109375" style="1" customWidth="1"/>
    <col min="8376" max="8383" width="9.140625" style="1"/>
    <col min="8384" max="8384" width="9.42578125" style="1" customWidth="1"/>
    <col min="8385" max="8630" width="9.140625" style="1"/>
    <col min="8631" max="8631" width="10.7109375" style="1" customWidth="1"/>
    <col min="8632" max="8639" width="9.140625" style="1"/>
    <col min="8640" max="8640" width="9.42578125" style="1" customWidth="1"/>
    <col min="8641" max="8886" width="9.140625" style="1"/>
    <col min="8887" max="8887" width="10.7109375" style="1" customWidth="1"/>
    <col min="8888" max="8895" width="9.140625" style="1"/>
    <col min="8896" max="8896" width="9.42578125" style="1" customWidth="1"/>
    <col min="8897" max="9142" width="9.140625" style="1"/>
    <col min="9143" max="9143" width="10.7109375" style="1" customWidth="1"/>
    <col min="9144" max="9151" width="9.140625" style="1"/>
    <col min="9152" max="9152" width="9.42578125" style="1" customWidth="1"/>
    <col min="9153" max="9398" width="9.140625" style="1"/>
    <col min="9399" max="9399" width="10.7109375" style="1" customWidth="1"/>
    <col min="9400" max="9407" width="9.140625" style="1"/>
    <col min="9408" max="9408" width="9.42578125" style="1" customWidth="1"/>
    <col min="9409" max="9654" width="9.140625" style="1"/>
    <col min="9655" max="9655" width="10.7109375" style="1" customWidth="1"/>
    <col min="9656" max="9663" width="9.140625" style="1"/>
    <col min="9664" max="9664" width="9.42578125" style="1" customWidth="1"/>
    <col min="9665" max="9910" width="9.140625" style="1"/>
    <col min="9911" max="9911" width="10.7109375" style="1" customWidth="1"/>
    <col min="9912" max="9919" width="9.140625" style="1"/>
    <col min="9920" max="9920" width="9.42578125" style="1" customWidth="1"/>
    <col min="9921" max="10166" width="9.140625" style="1"/>
    <col min="10167" max="10167" width="10.7109375" style="1" customWidth="1"/>
    <col min="10168" max="10175" width="9.140625" style="1"/>
    <col min="10176" max="10176" width="9.42578125" style="1" customWidth="1"/>
    <col min="10177" max="10422" width="9.140625" style="1"/>
    <col min="10423" max="10423" width="10.7109375" style="1" customWidth="1"/>
    <col min="10424" max="10431" width="9.140625" style="1"/>
    <col min="10432" max="10432" width="9.42578125" style="1" customWidth="1"/>
    <col min="10433" max="10678" width="9.140625" style="1"/>
    <col min="10679" max="10679" width="10.7109375" style="1" customWidth="1"/>
    <col min="10680" max="10687" width="9.140625" style="1"/>
    <col min="10688" max="10688" width="9.42578125" style="1" customWidth="1"/>
    <col min="10689" max="10934" width="9.140625" style="1"/>
    <col min="10935" max="10935" width="10.7109375" style="1" customWidth="1"/>
    <col min="10936" max="10943" width="9.140625" style="1"/>
    <col min="10944" max="10944" width="9.42578125" style="1" customWidth="1"/>
    <col min="10945" max="11190" width="9.140625" style="1"/>
    <col min="11191" max="11191" width="10.7109375" style="1" customWidth="1"/>
    <col min="11192" max="11199" width="9.140625" style="1"/>
    <col min="11200" max="11200" width="9.42578125" style="1" customWidth="1"/>
    <col min="11201" max="11446" width="9.140625" style="1"/>
    <col min="11447" max="11447" width="10.7109375" style="1" customWidth="1"/>
    <col min="11448" max="11455" width="9.140625" style="1"/>
    <col min="11456" max="11456" width="9.42578125" style="1" customWidth="1"/>
    <col min="11457" max="11702" width="9.140625" style="1"/>
    <col min="11703" max="11703" width="10.7109375" style="1" customWidth="1"/>
    <col min="11704" max="11711" width="9.140625" style="1"/>
    <col min="11712" max="11712" width="9.42578125" style="1" customWidth="1"/>
    <col min="11713" max="11958" width="9.140625" style="1"/>
    <col min="11959" max="11959" width="10.7109375" style="1" customWidth="1"/>
    <col min="11960" max="11967" width="9.140625" style="1"/>
    <col min="11968" max="11968" width="9.42578125" style="1" customWidth="1"/>
    <col min="11969" max="12214" width="9.140625" style="1"/>
    <col min="12215" max="12215" width="10.7109375" style="1" customWidth="1"/>
    <col min="12216" max="12223" width="9.140625" style="1"/>
    <col min="12224" max="12224" width="9.42578125" style="1" customWidth="1"/>
    <col min="12225" max="12470" width="9.140625" style="1"/>
    <col min="12471" max="12471" width="10.7109375" style="1" customWidth="1"/>
    <col min="12472" max="12479" width="9.140625" style="1"/>
    <col min="12480" max="12480" width="9.42578125" style="1" customWidth="1"/>
    <col min="12481" max="12726" width="9.140625" style="1"/>
    <col min="12727" max="12727" width="10.7109375" style="1" customWidth="1"/>
    <col min="12728" max="12735" width="9.140625" style="1"/>
    <col min="12736" max="12736" width="9.42578125" style="1" customWidth="1"/>
    <col min="12737" max="12982" width="9.140625" style="1"/>
    <col min="12983" max="12983" width="10.7109375" style="1" customWidth="1"/>
    <col min="12984" max="12991" width="9.140625" style="1"/>
    <col min="12992" max="12992" width="9.42578125" style="1" customWidth="1"/>
    <col min="12993" max="13238" width="9.140625" style="1"/>
    <col min="13239" max="13239" width="10.7109375" style="1" customWidth="1"/>
    <col min="13240" max="13247" width="9.140625" style="1"/>
    <col min="13248" max="13248" width="9.42578125" style="1" customWidth="1"/>
    <col min="13249" max="13494" width="9.140625" style="1"/>
    <col min="13495" max="13495" width="10.7109375" style="1" customWidth="1"/>
    <col min="13496" max="13503" width="9.140625" style="1"/>
    <col min="13504" max="13504" width="9.42578125" style="1" customWidth="1"/>
    <col min="13505" max="13750" width="9.140625" style="1"/>
    <col min="13751" max="13751" width="10.7109375" style="1" customWidth="1"/>
    <col min="13752" max="13759" width="9.140625" style="1"/>
    <col min="13760" max="13760" width="9.42578125" style="1" customWidth="1"/>
    <col min="13761" max="14006" width="9.140625" style="1"/>
    <col min="14007" max="14007" width="10.7109375" style="1" customWidth="1"/>
    <col min="14008" max="14015" width="9.140625" style="1"/>
    <col min="14016" max="14016" width="9.42578125" style="1" customWidth="1"/>
    <col min="14017" max="14262" width="9.140625" style="1"/>
    <col min="14263" max="14263" width="10.7109375" style="1" customWidth="1"/>
    <col min="14264" max="14271" width="9.140625" style="1"/>
    <col min="14272" max="14272" width="9.42578125" style="1" customWidth="1"/>
    <col min="14273" max="14518" width="9.140625" style="1"/>
    <col min="14519" max="14519" width="10.7109375" style="1" customWidth="1"/>
    <col min="14520" max="14527" width="9.140625" style="1"/>
    <col min="14528" max="14528" width="9.42578125" style="1" customWidth="1"/>
    <col min="14529" max="14774" width="9.140625" style="1"/>
    <col min="14775" max="14775" width="10.7109375" style="1" customWidth="1"/>
    <col min="14776" max="14783" width="9.140625" style="1"/>
    <col min="14784" max="14784" width="9.42578125" style="1" customWidth="1"/>
    <col min="14785" max="15030" width="9.140625" style="1"/>
    <col min="15031" max="15031" width="10.7109375" style="1" customWidth="1"/>
    <col min="15032" max="15039" width="9.140625" style="1"/>
    <col min="15040" max="15040" width="9.42578125" style="1" customWidth="1"/>
    <col min="15041" max="15286" width="9.140625" style="1"/>
    <col min="15287" max="15287" width="10.7109375" style="1" customWidth="1"/>
    <col min="15288" max="15295" width="9.140625" style="1"/>
    <col min="15296" max="15296" width="9.42578125" style="1" customWidth="1"/>
    <col min="15297" max="15542" width="9.140625" style="1"/>
    <col min="15543" max="15543" width="10.7109375" style="1" customWidth="1"/>
    <col min="15544" max="15551" width="9.140625" style="1"/>
    <col min="15552" max="15552" width="9.42578125" style="1" customWidth="1"/>
    <col min="15553" max="15798" width="9.140625" style="1"/>
    <col min="15799" max="15799" width="10.7109375" style="1" customWidth="1"/>
    <col min="15800" max="15807" width="9.140625" style="1"/>
    <col min="15808" max="15808" width="9.42578125" style="1" customWidth="1"/>
    <col min="15809" max="16054" width="9.140625" style="1"/>
    <col min="16055" max="16055" width="10.7109375" style="1" customWidth="1"/>
    <col min="16056" max="16063" width="9.140625" style="1"/>
    <col min="16064" max="16064" width="9.42578125" style="1" customWidth="1"/>
    <col min="16065" max="16384" width="9.140625" style="1"/>
  </cols>
  <sheetData>
    <row r="1" spans="1:9" ht="14.25" x14ac:dyDescent="0.2">
      <c r="A1" s="95" t="s">
        <v>35</v>
      </c>
      <c r="B1" s="96"/>
      <c r="C1" s="96"/>
      <c r="D1" s="96"/>
      <c r="E1" s="96"/>
      <c r="F1" s="96"/>
      <c r="G1" s="96"/>
      <c r="H1" s="96"/>
      <c r="I1" s="97"/>
    </row>
    <row r="2" spans="1:9" ht="15" x14ac:dyDescent="0.2">
      <c r="A2" s="91" t="s">
        <v>0</v>
      </c>
      <c r="B2" s="92"/>
      <c r="C2" s="93" t="s">
        <v>36</v>
      </c>
      <c r="D2" s="93"/>
      <c r="E2" s="92" t="s">
        <v>1</v>
      </c>
      <c r="F2" s="92"/>
      <c r="G2" s="63"/>
      <c r="H2" s="98">
        <v>45259</v>
      </c>
      <c r="I2" s="94"/>
    </row>
    <row r="3" spans="1:9" ht="15" x14ac:dyDescent="0.2">
      <c r="A3" s="91" t="s">
        <v>2</v>
      </c>
      <c r="B3" s="92"/>
      <c r="C3" s="93" t="s">
        <v>37</v>
      </c>
      <c r="D3" s="93"/>
      <c r="E3" s="92" t="s">
        <v>3</v>
      </c>
      <c r="F3" s="92"/>
      <c r="G3" s="63"/>
      <c r="H3" s="93" t="s">
        <v>38</v>
      </c>
      <c r="I3" s="94"/>
    </row>
    <row r="4" spans="1:9" ht="15" x14ac:dyDescent="0.2">
      <c r="A4" s="91" t="s">
        <v>4</v>
      </c>
      <c r="B4" s="92"/>
      <c r="C4" s="93">
        <v>2</v>
      </c>
      <c r="D4" s="93"/>
      <c r="E4" s="92"/>
      <c r="F4" s="92"/>
      <c r="G4" s="63"/>
      <c r="H4" s="93"/>
      <c r="I4" s="94"/>
    </row>
    <row r="5" spans="1:9" ht="15" x14ac:dyDescent="0.2">
      <c r="A5" s="91"/>
      <c r="B5" s="92"/>
      <c r="C5" s="93"/>
      <c r="D5" s="93"/>
      <c r="E5" s="92"/>
      <c r="F5" s="92"/>
      <c r="G5" s="63"/>
      <c r="H5" s="93"/>
      <c r="I5" s="94"/>
    </row>
    <row r="6" spans="1:9" ht="15" x14ac:dyDescent="0.2">
      <c r="A6" s="2"/>
      <c r="B6" s="3"/>
      <c r="C6" s="3"/>
      <c r="D6" s="4"/>
      <c r="E6" s="4"/>
      <c r="F6" s="4"/>
      <c r="G6" s="4"/>
      <c r="H6" s="3"/>
      <c r="I6" s="5"/>
    </row>
    <row r="7" spans="1:9" ht="42.75" x14ac:dyDescent="0.2">
      <c r="A7" s="6" t="s">
        <v>5</v>
      </c>
      <c r="B7" s="6" t="s">
        <v>6</v>
      </c>
      <c r="C7" s="6" t="s">
        <v>7</v>
      </c>
      <c r="D7" s="6" t="s">
        <v>8</v>
      </c>
      <c r="E7" s="87" t="s">
        <v>9</v>
      </c>
      <c r="F7" s="88"/>
      <c r="G7" s="89"/>
      <c r="H7" s="6" t="s">
        <v>10</v>
      </c>
      <c r="I7" s="6" t="s">
        <v>11</v>
      </c>
    </row>
    <row r="8" spans="1:9" ht="16.5" x14ac:dyDescent="0.2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34</v>
      </c>
      <c r="H8" s="7" t="s">
        <v>18</v>
      </c>
      <c r="I8" s="7" t="s">
        <v>18</v>
      </c>
    </row>
    <row r="9" spans="1:9" ht="15" x14ac:dyDescent="0.2">
      <c r="A9" s="79">
        <v>20</v>
      </c>
      <c r="B9" s="82">
        <f>A9*154/1000</f>
        <v>3.08</v>
      </c>
      <c r="C9" s="82">
        <f>B9/(0.07)</f>
        <v>44</v>
      </c>
      <c r="D9" s="8">
        <v>0</v>
      </c>
      <c r="E9" s="9">
        <v>0.31</v>
      </c>
      <c r="F9" s="9">
        <v>0</v>
      </c>
      <c r="G9" s="9">
        <v>0.13</v>
      </c>
      <c r="H9" s="82">
        <f>(((E11-E9)+(F11-F9))/2)</f>
        <v>0.26500000000000001</v>
      </c>
      <c r="I9" s="85">
        <f>H9</f>
        <v>0.26500000000000001</v>
      </c>
    </row>
    <row r="10" spans="1:9" ht="15" x14ac:dyDescent="0.2">
      <c r="A10" s="80"/>
      <c r="B10" s="83"/>
      <c r="C10" s="83"/>
      <c r="D10" s="10">
        <v>15</v>
      </c>
      <c r="E10" s="11"/>
      <c r="F10" s="11"/>
      <c r="G10" s="11"/>
      <c r="H10" s="83"/>
      <c r="I10" s="86"/>
    </row>
    <row r="11" spans="1:9" ht="15" x14ac:dyDescent="0.2">
      <c r="A11" s="80"/>
      <c r="B11" s="83"/>
      <c r="C11" s="83"/>
      <c r="D11" s="10">
        <v>30</v>
      </c>
      <c r="E11" s="11">
        <v>0.64</v>
      </c>
      <c r="F11" s="11">
        <v>0.2</v>
      </c>
      <c r="G11" s="11">
        <v>0.8</v>
      </c>
      <c r="H11" s="83"/>
      <c r="I11" s="86"/>
    </row>
    <row r="12" spans="1:9" ht="15" hidden="1" customHeight="1" x14ac:dyDescent="0.2">
      <c r="A12" s="80"/>
      <c r="B12" s="83"/>
      <c r="C12" s="83"/>
      <c r="D12" s="10">
        <v>6.25</v>
      </c>
      <c r="E12" s="11"/>
      <c r="F12" s="11"/>
      <c r="G12" s="11"/>
      <c r="H12" s="83"/>
      <c r="I12" s="86"/>
    </row>
    <row r="13" spans="1:9" ht="15" hidden="1" customHeight="1" x14ac:dyDescent="0.2">
      <c r="A13" s="80"/>
      <c r="B13" s="83"/>
      <c r="C13" s="83"/>
      <c r="D13" s="10">
        <v>9</v>
      </c>
      <c r="E13" s="11"/>
      <c r="F13" s="11"/>
      <c r="G13" s="11"/>
      <c r="H13" s="83"/>
      <c r="I13" s="86"/>
    </row>
    <row r="14" spans="1:9" ht="15" hidden="1" customHeight="1" x14ac:dyDescent="0.2">
      <c r="A14" s="80"/>
      <c r="B14" s="83"/>
      <c r="C14" s="83"/>
      <c r="D14" s="12">
        <v>12</v>
      </c>
      <c r="E14" s="13"/>
      <c r="F14" s="13"/>
      <c r="G14" s="13"/>
      <c r="H14" s="84"/>
      <c r="I14" s="90"/>
    </row>
    <row r="15" spans="1:9" ht="15" hidden="1" customHeight="1" x14ac:dyDescent="0.2">
      <c r="A15" s="81"/>
      <c r="B15" s="84"/>
      <c r="C15" s="84"/>
      <c r="D15" s="10">
        <v>16</v>
      </c>
      <c r="E15" s="11">
        <v>1.59</v>
      </c>
      <c r="F15" s="11">
        <v>1.27</v>
      </c>
      <c r="G15" s="11"/>
      <c r="H15" s="64"/>
      <c r="I15" s="65"/>
    </row>
    <row r="16" spans="1:9" ht="15" x14ac:dyDescent="0.2">
      <c r="A16" s="79">
        <v>40</v>
      </c>
      <c r="B16" s="82">
        <f>A16*154/1000</f>
        <v>6.16</v>
      </c>
      <c r="C16" s="82">
        <f t="shared" ref="C16" si="0">B16/(0.07)</f>
        <v>88</v>
      </c>
      <c r="D16" s="8">
        <v>0</v>
      </c>
      <c r="E16" s="9">
        <f>E11</f>
        <v>0.64</v>
      </c>
      <c r="F16" s="9">
        <f>F11</f>
        <v>0.2</v>
      </c>
      <c r="G16" s="9">
        <f>G11</f>
        <v>0.8</v>
      </c>
      <c r="H16" s="82">
        <f>(((E18-E16)+(F18-F16))/2)</f>
        <v>1.415</v>
      </c>
      <c r="I16" s="82">
        <f>I9+H16</f>
        <v>1.6800000000000002</v>
      </c>
    </row>
    <row r="17" spans="1:9" ht="15" x14ac:dyDescent="0.2">
      <c r="A17" s="80"/>
      <c r="B17" s="83"/>
      <c r="C17" s="83"/>
      <c r="D17" s="10">
        <v>15</v>
      </c>
      <c r="E17" s="11"/>
      <c r="F17" s="11"/>
      <c r="G17" s="11"/>
      <c r="H17" s="83"/>
      <c r="I17" s="83"/>
    </row>
    <row r="18" spans="1:9" ht="15" x14ac:dyDescent="0.2">
      <c r="A18" s="80"/>
      <c r="B18" s="83"/>
      <c r="C18" s="83"/>
      <c r="D18" s="10">
        <v>30</v>
      </c>
      <c r="E18" s="11">
        <v>1.92</v>
      </c>
      <c r="F18" s="11">
        <v>1.75</v>
      </c>
      <c r="G18" s="11">
        <v>1.23</v>
      </c>
      <c r="H18" s="83"/>
      <c r="I18" s="83"/>
    </row>
    <row r="19" spans="1:9" ht="15" hidden="1" x14ac:dyDescent="0.2">
      <c r="A19" s="80"/>
      <c r="B19" s="83"/>
      <c r="C19" s="83"/>
      <c r="D19" s="10">
        <v>6.25</v>
      </c>
      <c r="E19" s="11"/>
      <c r="F19" s="11"/>
      <c r="G19" s="11"/>
      <c r="H19" s="83"/>
      <c r="I19" s="83"/>
    </row>
    <row r="20" spans="1:9" ht="15" hidden="1" x14ac:dyDescent="0.2">
      <c r="A20" s="80"/>
      <c r="B20" s="83"/>
      <c r="C20" s="83"/>
      <c r="D20" s="10">
        <v>9</v>
      </c>
      <c r="E20" s="11"/>
      <c r="F20" s="11"/>
      <c r="G20" s="11"/>
      <c r="H20" s="83"/>
      <c r="I20" s="83"/>
    </row>
    <row r="21" spans="1:9" ht="15" hidden="1" x14ac:dyDescent="0.2">
      <c r="A21" s="80"/>
      <c r="B21" s="83"/>
      <c r="C21" s="83"/>
      <c r="D21" s="12">
        <v>12</v>
      </c>
      <c r="E21" s="13"/>
      <c r="F21" s="13"/>
      <c r="G21" s="13"/>
      <c r="H21" s="84"/>
      <c r="I21" s="84"/>
    </row>
    <row r="22" spans="1:9" ht="15" hidden="1" x14ac:dyDescent="0.2">
      <c r="A22" s="81"/>
      <c r="B22" s="84"/>
      <c r="C22" s="84"/>
      <c r="D22" s="10">
        <v>16</v>
      </c>
      <c r="E22" s="11">
        <v>2.35</v>
      </c>
      <c r="F22" s="11">
        <v>1.93</v>
      </c>
      <c r="G22" s="11"/>
      <c r="H22" s="64"/>
      <c r="I22" s="64"/>
    </row>
    <row r="23" spans="1:9" ht="15" x14ac:dyDescent="0.2">
      <c r="A23" s="79">
        <v>60</v>
      </c>
      <c r="B23" s="82">
        <f>A23*154/1000</f>
        <v>9.24</v>
      </c>
      <c r="C23" s="82">
        <f t="shared" ref="C23" si="1">B23/(0.07)</f>
        <v>132</v>
      </c>
      <c r="D23" s="8">
        <v>0</v>
      </c>
      <c r="E23" s="9">
        <f>E18</f>
        <v>1.92</v>
      </c>
      <c r="F23" s="9">
        <f>F18</f>
        <v>1.75</v>
      </c>
      <c r="G23" s="9">
        <f>G18</f>
        <v>1.23</v>
      </c>
      <c r="H23" s="82">
        <f>(((E25-E23)+(F25-F23))/2)</f>
        <v>2.04</v>
      </c>
      <c r="I23" s="82">
        <f>I16+H23</f>
        <v>3.72</v>
      </c>
    </row>
    <row r="24" spans="1:9" ht="15" x14ac:dyDescent="0.2">
      <c r="A24" s="80"/>
      <c r="B24" s="83"/>
      <c r="C24" s="83"/>
      <c r="D24" s="10">
        <v>15</v>
      </c>
      <c r="E24" s="11"/>
      <c r="F24" s="11"/>
      <c r="G24" s="11"/>
      <c r="H24" s="83"/>
      <c r="I24" s="83"/>
    </row>
    <row r="25" spans="1:9" ht="15" x14ac:dyDescent="0.2">
      <c r="A25" s="80"/>
      <c r="B25" s="83"/>
      <c r="C25" s="83"/>
      <c r="D25" s="10">
        <v>30</v>
      </c>
      <c r="E25" s="11">
        <v>4</v>
      </c>
      <c r="F25" s="11">
        <v>3.75</v>
      </c>
      <c r="G25" s="11">
        <v>1.6</v>
      </c>
      <c r="H25" s="83"/>
      <c r="I25" s="83"/>
    </row>
    <row r="26" spans="1:9" ht="15" hidden="1" customHeight="1" x14ac:dyDescent="0.2">
      <c r="A26" s="80"/>
      <c r="B26" s="83"/>
      <c r="C26" s="83"/>
      <c r="D26" s="10">
        <v>6.25</v>
      </c>
      <c r="E26" s="11"/>
      <c r="F26" s="11"/>
      <c r="G26" s="11"/>
      <c r="H26" s="83"/>
      <c r="I26" s="83"/>
    </row>
    <row r="27" spans="1:9" ht="15" hidden="1" customHeight="1" x14ac:dyDescent="0.2">
      <c r="A27" s="80"/>
      <c r="B27" s="83"/>
      <c r="C27" s="83"/>
      <c r="D27" s="10">
        <v>9</v>
      </c>
      <c r="E27" s="11"/>
      <c r="F27" s="11"/>
      <c r="G27" s="11"/>
      <c r="H27" s="83"/>
      <c r="I27" s="83"/>
    </row>
    <row r="28" spans="1:9" ht="15" hidden="1" customHeight="1" x14ac:dyDescent="0.2">
      <c r="A28" s="80"/>
      <c r="B28" s="83"/>
      <c r="C28" s="83"/>
      <c r="D28" s="12">
        <v>12</v>
      </c>
      <c r="E28" s="11"/>
      <c r="F28" s="11"/>
      <c r="G28" s="11"/>
      <c r="H28" s="84"/>
      <c r="I28" s="84"/>
    </row>
    <row r="29" spans="1:9" ht="15" hidden="1" x14ac:dyDescent="0.2">
      <c r="A29" s="81"/>
      <c r="B29" s="84"/>
      <c r="C29" s="84"/>
      <c r="D29" s="10">
        <v>16</v>
      </c>
      <c r="E29" s="11">
        <v>3.19</v>
      </c>
      <c r="F29" s="11">
        <v>2.5</v>
      </c>
      <c r="G29" s="11"/>
      <c r="H29" s="64"/>
      <c r="I29" s="64"/>
    </row>
    <row r="30" spans="1:9" ht="15" x14ac:dyDescent="0.2">
      <c r="A30" s="79">
        <v>80</v>
      </c>
      <c r="B30" s="82">
        <f>A30*154/1000</f>
        <v>12.32</v>
      </c>
      <c r="C30" s="82">
        <f t="shared" ref="C30" si="2">B30/(0.07)</f>
        <v>176</v>
      </c>
      <c r="D30" s="8">
        <v>0</v>
      </c>
      <c r="E30" s="9">
        <f>E25</f>
        <v>4</v>
      </c>
      <c r="F30" s="9">
        <f>F25</f>
        <v>3.75</v>
      </c>
      <c r="G30" s="9">
        <f>G25</f>
        <v>1.6</v>
      </c>
      <c r="H30" s="82">
        <f>(((E32-E30)+(F32-F30))/2)</f>
        <v>1.8599999999999999</v>
      </c>
      <c r="I30" s="82">
        <f>I23+H30</f>
        <v>5.58</v>
      </c>
    </row>
    <row r="31" spans="1:9" ht="15" x14ac:dyDescent="0.2">
      <c r="A31" s="80"/>
      <c r="B31" s="83"/>
      <c r="C31" s="83"/>
      <c r="D31" s="10">
        <v>15</v>
      </c>
      <c r="E31" s="11"/>
      <c r="F31" s="11"/>
      <c r="G31" s="11"/>
      <c r="H31" s="83"/>
      <c r="I31" s="83"/>
    </row>
    <row r="32" spans="1:9" ht="15" x14ac:dyDescent="0.2">
      <c r="A32" s="80"/>
      <c r="B32" s="83"/>
      <c r="C32" s="83"/>
      <c r="D32" s="10">
        <v>30</v>
      </c>
      <c r="E32" s="11">
        <v>5.96</v>
      </c>
      <c r="F32" s="11">
        <v>5.51</v>
      </c>
      <c r="G32" s="11">
        <v>2.42</v>
      </c>
      <c r="H32" s="83"/>
      <c r="I32" s="83"/>
    </row>
    <row r="33" spans="1:21" ht="15" hidden="1" x14ac:dyDescent="0.2">
      <c r="A33" s="80"/>
      <c r="B33" s="83"/>
      <c r="C33" s="83"/>
      <c r="D33" s="10">
        <v>6.25</v>
      </c>
      <c r="E33" s="11"/>
      <c r="F33" s="11"/>
      <c r="G33" s="11"/>
      <c r="H33" s="83"/>
      <c r="I33" s="83"/>
    </row>
    <row r="34" spans="1:21" ht="15" hidden="1" x14ac:dyDescent="0.2">
      <c r="A34" s="80"/>
      <c r="B34" s="83"/>
      <c r="C34" s="83"/>
      <c r="D34" s="10">
        <v>9</v>
      </c>
      <c r="E34" s="11"/>
      <c r="F34" s="11"/>
      <c r="G34" s="11"/>
      <c r="H34" s="83"/>
      <c r="I34" s="83"/>
    </row>
    <row r="35" spans="1:21" ht="15" hidden="1" x14ac:dyDescent="0.2">
      <c r="A35" s="80"/>
      <c r="B35" s="83"/>
      <c r="C35" s="83"/>
      <c r="D35" s="12">
        <v>12</v>
      </c>
      <c r="E35" s="11"/>
      <c r="F35" s="11"/>
      <c r="G35" s="11"/>
      <c r="H35" s="84"/>
      <c r="I35" s="84"/>
    </row>
    <row r="36" spans="1:21" ht="15" hidden="1" x14ac:dyDescent="0.2">
      <c r="A36" s="81"/>
      <c r="B36" s="84"/>
      <c r="C36" s="84"/>
      <c r="D36" s="10">
        <v>16</v>
      </c>
      <c r="E36" s="11">
        <v>4.0999999999999996</v>
      </c>
      <c r="F36" s="11">
        <v>2.9</v>
      </c>
      <c r="G36" s="11"/>
      <c r="H36" s="64"/>
      <c r="I36" s="65"/>
    </row>
    <row r="37" spans="1:21" ht="15" x14ac:dyDescent="0.2">
      <c r="A37" s="79">
        <v>95</v>
      </c>
      <c r="B37" s="82">
        <f>A37*154/1000</f>
        <v>14.63</v>
      </c>
      <c r="C37" s="82">
        <f>B37/(0.07)</f>
        <v>209</v>
      </c>
      <c r="D37" s="8">
        <v>0</v>
      </c>
      <c r="E37" s="9">
        <f>E32</f>
        <v>5.96</v>
      </c>
      <c r="F37" s="9">
        <f>F32</f>
        <v>5.51</v>
      </c>
      <c r="G37" s="9">
        <f>G32</f>
        <v>2.42</v>
      </c>
      <c r="H37" s="82">
        <f>(((E39-E37)+(F39-F37))/2)</f>
        <v>1.9350000000000001</v>
      </c>
      <c r="I37" s="85">
        <f>I30+H37</f>
        <v>7.5150000000000006</v>
      </c>
    </row>
    <row r="38" spans="1:21" ht="15" x14ac:dyDescent="0.2">
      <c r="A38" s="80"/>
      <c r="B38" s="83"/>
      <c r="C38" s="83"/>
      <c r="D38" s="10">
        <v>15</v>
      </c>
      <c r="E38" s="11"/>
      <c r="F38" s="11"/>
      <c r="G38" s="11"/>
      <c r="H38" s="83"/>
      <c r="I38" s="86"/>
    </row>
    <row r="39" spans="1:21" ht="15" x14ac:dyDescent="0.2">
      <c r="A39" s="80"/>
      <c r="B39" s="83"/>
      <c r="C39" s="83"/>
      <c r="D39" s="10">
        <v>30</v>
      </c>
      <c r="E39" s="11">
        <v>7.96</v>
      </c>
      <c r="F39" s="11">
        <v>7.38</v>
      </c>
      <c r="G39" s="11">
        <v>3.72</v>
      </c>
      <c r="H39" s="83"/>
      <c r="I39" s="86"/>
    </row>
    <row r="40" spans="1:21" ht="15" x14ac:dyDescent="0.2">
      <c r="A40" s="14">
        <v>80</v>
      </c>
      <c r="B40" s="15">
        <f>A40*154/1000</f>
        <v>12.32</v>
      </c>
      <c r="C40" s="15">
        <f>B40/(0.07)</f>
        <v>176</v>
      </c>
      <c r="D40" s="14">
        <v>0</v>
      </c>
      <c r="E40" s="16">
        <v>7.9</v>
      </c>
      <c r="F40" s="16">
        <v>7.3</v>
      </c>
      <c r="G40" s="16">
        <v>3.6</v>
      </c>
      <c r="H40" s="66">
        <f>(((E40-E39)+(F40-F39))/2)</f>
        <v>-6.999999999999984E-2</v>
      </c>
      <c r="I40" s="67">
        <f>I37+H40</f>
        <v>7.4450000000000003</v>
      </c>
    </row>
    <row r="41" spans="1:21" ht="15" x14ac:dyDescent="0.2">
      <c r="A41" s="14">
        <v>60</v>
      </c>
      <c r="B41" s="15">
        <f t="shared" ref="B41:B42" si="3">A41*154/1000</f>
        <v>9.24</v>
      </c>
      <c r="C41" s="15">
        <f t="shared" ref="C41:C43" si="4">B41/(0.07)</f>
        <v>132</v>
      </c>
      <c r="D41" s="14">
        <v>0</v>
      </c>
      <c r="E41" s="16">
        <v>7.8</v>
      </c>
      <c r="F41" s="16">
        <v>7.21</v>
      </c>
      <c r="G41" s="16">
        <v>3.51</v>
      </c>
      <c r="H41" s="66">
        <f>(((E41-E40)+(F41-F40))/2)</f>
        <v>-9.5000000000000195E-2</v>
      </c>
      <c r="I41" s="67">
        <f>I40+H41</f>
        <v>7.35</v>
      </c>
      <c r="L41" s="1">
        <v>0.51</v>
      </c>
    </row>
    <row r="42" spans="1:21" ht="15" x14ac:dyDescent="0.2">
      <c r="A42" s="14">
        <v>40</v>
      </c>
      <c r="B42" s="15">
        <f t="shared" si="3"/>
        <v>6.16</v>
      </c>
      <c r="C42" s="15">
        <f t="shared" si="4"/>
        <v>88</v>
      </c>
      <c r="D42" s="14">
        <v>0</v>
      </c>
      <c r="E42" s="16">
        <v>6.55</v>
      </c>
      <c r="F42" s="16">
        <v>5.84</v>
      </c>
      <c r="G42" s="16">
        <v>3.46</v>
      </c>
      <c r="H42" s="66">
        <f>(((E42-E41)+(F42-F41))/2)</f>
        <v>-1.31</v>
      </c>
      <c r="I42" s="67">
        <f>I41+H42</f>
        <v>6.0399999999999991</v>
      </c>
    </row>
    <row r="43" spans="1:21" ht="15" x14ac:dyDescent="0.2">
      <c r="A43" s="14">
        <v>20</v>
      </c>
      <c r="B43" s="15">
        <f>A43*154/1000</f>
        <v>3.08</v>
      </c>
      <c r="C43" s="15">
        <f t="shared" si="4"/>
        <v>44</v>
      </c>
      <c r="D43" s="12">
        <v>0</v>
      </c>
      <c r="E43" s="13">
        <v>4.2</v>
      </c>
      <c r="F43" s="13">
        <v>3.64</v>
      </c>
      <c r="G43" s="13">
        <v>3.38</v>
      </c>
      <c r="H43" s="66">
        <f>(((E43-E42)+(F43-F42))/2)</f>
        <v>-2.2749999999999995</v>
      </c>
      <c r="I43" s="67">
        <f>I42+H43</f>
        <v>3.7649999999999997</v>
      </c>
    </row>
    <row r="44" spans="1:21" ht="15" x14ac:dyDescent="0.2">
      <c r="A44" s="17">
        <v>0</v>
      </c>
      <c r="B44" s="15">
        <f>A44*154/1000</f>
        <v>0</v>
      </c>
      <c r="C44" s="17"/>
      <c r="D44" s="14">
        <v>0</v>
      </c>
      <c r="E44" s="13">
        <v>3.95</v>
      </c>
      <c r="F44" s="13">
        <v>3.2</v>
      </c>
      <c r="G44" s="13">
        <v>3.23</v>
      </c>
      <c r="H44" s="66">
        <f>(((E44-E43)+(F44-F43))/2)</f>
        <v>-0.34499999999999997</v>
      </c>
      <c r="I44" s="67">
        <f>I43+H44</f>
        <v>3.42</v>
      </c>
    </row>
    <row r="45" spans="1:21" ht="15.75" thickBot="1" x14ac:dyDescent="0.25">
      <c r="A45" s="17"/>
      <c r="B45" s="17"/>
      <c r="C45" s="17"/>
      <c r="D45" s="17"/>
      <c r="E45" s="17"/>
      <c r="F45" s="17"/>
      <c r="G45" s="17"/>
      <c r="H45" s="17"/>
      <c r="I45" s="17"/>
    </row>
    <row r="46" spans="1:21" ht="16.5" thickBot="1" x14ac:dyDescent="0.25">
      <c r="A46" s="17"/>
      <c r="B46" s="17"/>
      <c r="C46" s="17"/>
      <c r="D46" s="17"/>
      <c r="E46" s="17"/>
      <c r="F46" s="17"/>
      <c r="G46" s="17"/>
      <c r="H46" s="17"/>
      <c r="I46" s="17"/>
      <c r="K46" s="76" t="s">
        <v>19</v>
      </c>
      <c r="L46" s="77"/>
      <c r="M46" s="77"/>
      <c r="N46" s="77"/>
      <c r="O46" s="77"/>
      <c r="P46" s="77"/>
      <c r="Q46" s="77"/>
      <c r="R46" s="77"/>
      <c r="S46" s="77"/>
      <c r="T46" s="77"/>
      <c r="U46" s="78"/>
    </row>
    <row r="47" spans="1:21" ht="12.75" customHeight="1" x14ac:dyDescent="0.2">
      <c r="A47" s="17"/>
      <c r="B47" s="17"/>
      <c r="C47" s="17"/>
      <c r="D47" s="17"/>
      <c r="E47" s="17"/>
      <c r="F47" s="17"/>
      <c r="G47" s="17"/>
      <c r="H47" s="17"/>
      <c r="I47" s="17"/>
      <c r="K47" s="69" t="str">
        <f>C2</f>
        <v>377 MLD</v>
      </c>
      <c r="L47" s="70"/>
      <c r="M47" s="70"/>
      <c r="N47" s="70"/>
      <c r="O47" s="70"/>
      <c r="P47" s="70"/>
      <c r="Q47" s="70"/>
      <c r="R47" s="70"/>
      <c r="S47" s="70"/>
      <c r="T47" s="70"/>
      <c r="U47" s="71"/>
    </row>
    <row r="48" spans="1:21" ht="15" x14ac:dyDescent="0.2">
      <c r="A48" s="17"/>
      <c r="B48" s="17"/>
      <c r="C48" s="17"/>
      <c r="D48" s="17"/>
      <c r="E48" s="17"/>
      <c r="F48" s="17"/>
      <c r="G48" s="17"/>
      <c r="H48" s="17"/>
      <c r="I48" s="17"/>
      <c r="K48" s="18" t="s">
        <v>20</v>
      </c>
      <c r="L48" s="19">
        <f>C4</f>
        <v>2</v>
      </c>
      <c r="M48" s="20" t="s">
        <v>21</v>
      </c>
      <c r="N48" s="1" t="str">
        <f>C3</f>
        <v>GVPR</v>
      </c>
      <c r="O48" s="21"/>
      <c r="P48" s="19"/>
      <c r="Q48" s="19"/>
      <c r="R48" s="20"/>
      <c r="T48" s="19"/>
      <c r="U48" s="22"/>
    </row>
    <row r="49" spans="1:22" ht="15" x14ac:dyDescent="0.2">
      <c r="A49" s="17"/>
      <c r="B49" s="17"/>
      <c r="C49" s="17"/>
      <c r="D49" s="17"/>
      <c r="E49" s="17"/>
      <c r="F49" s="17"/>
      <c r="G49" s="17"/>
      <c r="H49" s="17"/>
      <c r="I49" s="17"/>
      <c r="K49" s="23" t="s">
        <v>22</v>
      </c>
      <c r="L49" s="20" t="str">
        <f>H3</f>
        <v>T409</v>
      </c>
      <c r="P49" s="24"/>
      <c r="Q49" s="25"/>
      <c r="S49" s="25"/>
      <c r="T49" s="26"/>
      <c r="U49" s="27"/>
    </row>
    <row r="50" spans="1:22" ht="15" x14ac:dyDescent="0.2">
      <c r="A50" s="17"/>
      <c r="B50" s="17"/>
      <c r="C50" s="17"/>
      <c r="D50" s="17"/>
      <c r="E50" s="17"/>
      <c r="F50" s="17"/>
      <c r="G50" s="17"/>
      <c r="H50" s="17"/>
      <c r="I50" s="17"/>
      <c r="K50" s="23" t="s">
        <v>23</v>
      </c>
      <c r="L50" s="28" t="s">
        <v>33</v>
      </c>
      <c r="N50" s="29"/>
      <c r="O50" s="1" t="s">
        <v>24</v>
      </c>
      <c r="P50" s="72">
        <f>H4</f>
        <v>0</v>
      </c>
      <c r="Q50" s="72"/>
      <c r="R50" s="72">
        <f>H5</f>
        <v>0</v>
      </c>
      <c r="S50" s="72"/>
      <c r="T50" s="30"/>
      <c r="U50" s="27"/>
    </row>
    <row r="51" spans="1:22" ht="12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K51" s="23" t="s">
        <v>25</v>
      </c>
      <c r="L51" s="1">
        <f>C5</f>
        <v>0</v>
      </c>
      <c r="N51" s="29"/>
      <c r="P51" s="26"/>
      <c r="Q51" s="25"/>
      <c r="R51" s="31"/>
      <c r="S51" s="25"/>
      <c r="T51" s="29"/>
      <c r="U51" s="27"/>
    </row>
    <row r="52" spans="1:22" ht="12.75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K52" s="23" t="s">
        <v>26</v>
      </c>
      <c r="L52" s="32">
        <f>H2</f>
        <v>45259</v>
      </c>
      <c r="P52" s="26"/>
      <c r="Q52" s="33"/>
      <c r="R52" s="31"/>
      <c r="S52" s="25"/>
      <c r="T52" s="29"/>
      <c r="U52" s="27"/>
    </row>
    <row r="53" spans="1:22" ht="16.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K53" s="23"/>
      <c r="N53" s="74" t="s">
        <v>27</v>
      </c>
      <c r="O53" s="74"/>
      <c r="P53" s="74"/>
      <c r="Q53" s="74"/>
      <c r="R53" s="74"/>
      <c r="S53" s="74"/>
      <c r="T53" s="74"/>
      <c r="U53" s="27"/>
    </row>
    <row r="54" spans="1:22" ht="15.75" x14ac:dyDescent="0.25">
      <c r="A54" s="17"/>
      <c r="B54" s="17"/>
      <c r="C54" s="17"/>
      <c r="D54" s="17"/>
      <c r="E54" s="17"/>
      <c r="F54" s="17"/>
      <c r="G54" s="17"/>
      <c r="H54" s="17"/>
      <c r="I54" s="17"/>
      <c r="K54" s="23"/>
      <c r="P54" s="34"/>
      <c r="Q54" s="31"/>
      <c r="R54" s="31"/>
      <c r="S54" s="31"/>
      <c r="U54" s="27"/>
      <c r="V54" s="29"/>
    </row>
    <row r="55" spans="1:22" ht="38.25" x14ac:dyDescent="0.2">
      <c r="A55" s="17"/>
      <c r="B55" s="17"/>
      <c r="C55" s="17"/>
      <c r="D55" s="17"/>
      <c r="E55" s="17"/>
      <c r="F55" s="17"/>
      <c r="G55" s="17"/>
      <c r="H55" s="17"/>
      <c r="I55" s="17"/>
      <c r="K55" s="35" t="s">
        <v>28</v>
      </c>
      <c r="L55" s="36" t="s">
        <v>29</v>
      </c>
      <c r="M55" s="37"/>
      <c r="N55" s="38"/>
      <c r="O55" s="38"/>
      <c r="P55" s="38"/>
      <c r="Q55" s="29"/>
      <c r="R55" s="29"/>
      <c r="S55" s="29"/>
      <c r="T55" s="29"/>
      <c r="U55" s="39"/>
      <c r="V55" s="37"/>
    </row>
    <row r="56" spans="1:22" ht="15" x14ac:dyDescent="0.2">
      <c r="A56" s="17"/>
      <c r="B56" s="17"/>
      <c r="C56" s="17"/>
      <c r="D56" s="17"/>
      <c r="E56" s="17"/>
      <c r="F56" s="17"/>
      <c r="G56" s="17"/>
      <c r="H56" s="17"/>
      <c r="I56" s="17"/>
      <c r="K56" s="40"/>
      <c r="L56" s="41"/>
      <c r="M56" s="25"/>
      <c r="N56" s="25"/>
      <c r="O56" s="25"/>
      <c r="Q56" s="29"/>
      <c r="R56" s="29"/>
      <c r="S56" s="29"/>
      <c r="T56" s="29"/>
      <c r="U56" s="27"/>
      <c r="V56" s="29"/>
    </row>
    <row r="57" spans="1:22" ht="15" x14ac:dyDescent="0.2">
      <c r="A57" s="17"/>
      <c r="B57" s="17"/>
      <c r="C57" s="17"/>
      <c r="D57" s="17"/>
      <c r="E57" s="17"/>
      <c r="F57" s="17"/>
      <c r="G57" s="17"/>
      <c r="H57" s="17"/>
      <c r="I57" s="17"/>
      <c r="K57" s="42">
        <f>B9</f>
        <v>3.08</v>
      </c>
      <c r="L57" s="43">
        <f>I9</f>
        <v>0.26500000000000001</v>
      </c>
      <c r="M57" s="25"/>
      <c r="N57" s="25"/>
      <c r="O57" s="25"/>
      <c r="Q57" s="29"/>
      <c r="R57" s="29"/>
      <c r="S57" s="29"/>
      <c r="T57" s="29"/>
      <c r="U57" s="27"/>
      <c r="V57" s="29"/>
    </row>
    <row r="58" spans="1:22" ht="15" x14ac:dyDescent="0.2">
      <c r="A58" s="17"/>
      <c r="B58" s="17"/>
      <c r="C58" s="17"/>
      <c r="D58" s="17"/>
      <c r="E58" s="17"/>
      <c r="F58" s="17"/>
      <c r="G58" s="17"/>
      <c r="H58" s="17"/>
      <c r="I58" s="17"/>
      <c r="K58" s="42">
        <f>B16</f>
        <v>6.16</v>
      </c>
      <c r="L58" s="43">
        <f>I16</f>
        <v>1.6800000000000002</v>
      </c>
      <c r="M58" s="25"/>
      <c r="N58" s="25"/>
      <c r="O58" s="25"/>
      <c r="Q58" s="29"/>
      <c r="R58" s="29"/>
      <c r="S58" s="29"/>
      <c r="T58" s="29"/>
      <c r="U58" s="27"/>
      <c r="V58" s="29"/>
    </row>
    <row r="59" spans="1:22" ht="15" x14ac:dyDescent="0.2">
      <c r="A59" s="17"/>
      <c r="B59" s="17"/>
      <c r="C59" s="17"/>
      <c r="D59" s="17"/>
      <c r="E59" s="17"/>
      <c r="F59" s="17"/>
      <c r="G59" s="17"/>
      <c r="H59" s="17"/>
      <c r="I59" s="17"/>
      <c r="K59" s="42">
        <f>B23</f>
        <v>9.24</v>
      </c>
      <c r="L59" s="43">
        <f>I23</f>
        <v>3.72</v>
      </c>
      <c r="M59" s="25"/>
      <c r="N59" s="25"/>
      <c r="O59" s="25"/>
      <c r="Q59" s="29"/>
      <c r="R59" s="29"/>
      <c r="S59" s="29"/>
      <c r="T59" s="29"/>
      <c r="U59" s="27"/>
      <c r="V59" s="29"/>
    </row>
    <row r="60" spans="1:22" ht="15" x14ac:dyDescent="0.2">
      <c r="A60" s="17"/>
      <c r="B60" s="17"/>
      <c r="C60" s="17"/>
      <c r="D60" s="17"/>
      <c r="E60" s="17"/>
      <c r="F60" s="17"/>
      <c r="G60" s="17"/>
      <c r="H60" s="17"/>
      <c r="I60" s="17"/>
      <c r="K60" s="42">
        <f>B30</f>
        <v>12.32</v>
      </c>
      <c r="L60" s="43">
        <f>I30</f>
        <v>5.58</v>
      </c>
      <c r="M60" s="25"/>
      <c r="N60" s="25"/>
      <c r="O60" s="25"/>
      <c r="Q60" s="29"/>
      <c r="R60" s="29"/>
      <c r="S60" s="29"/>
      <c r="T60" s="29"/>
      <c r="U60" s="27"/>
      <c r="V60" s="29"/>
    </row>
    <row r="61" spans="1:22" ht="15" x14ac:dyDescent="0.2">
      <c r="A61" s="17"/>
      <c r="B61" s="17"/>
      <c r="C61" s="17"/>
      <c r="D61" s="17"/>
      <c r="E61" s="17"/>
      <c r="F61" s="17"/>
      <c r="G61" s="17"/>
      <c r="H61" s="17"/>
      <c r="I61" s="17"/>
      <c r="K61" s="42">
        <f>B37</f>
        <v>14.63</v>
      </c>
      <c r="L61" s="43">
        <f>I37</f>
        <v>7.5150000000000006</v>
      </c>
      <c r="M61" s="25"/>
      <c r="N61" s="25"/>
      <c r="O61" s="25"/>
      <c r="Q61" s="29"/>
      <c r="R61" s="29"/>
      <c r="S61" s="29"/>
      <c r="T61" s="29"/>
      <c r="U61" s="27"/>
      <c r="V61" s="29"/>
    </row>
    <row r="62" spans="1:22" ht="15" x14ac:dyDescent="0.2">
      <c r="A62" s="17"/>
      <c r="B62" s="17"/>
      <c r="C62" s="17"/>
      <c r="D62" s="17"/>
      <c r="E62" s="17"/>
      <c r="F62" s="17"/>
      <c r="G62" s="17"/>
      <c r="H62" s="17"/>
      <c r="I62" s="17"/>
      <c r="K62" s="42">
        <f>K60</f>
        <v>12.32</v>
      </c>
      <c r="L62" s="44">
        <v>7.4450000000000003</v>
      </c>
      <c r="M62" s="25"/>
      <c r="N62" s="25"/>
      <c r="O62" s="25"/>
      <c r="Q62" s="29"/>
      <c r="R62" s="29"/>
      <c r="S62" s="29"/>
      <c r="T62" s="29"/>
      <c r="U62" s="27"/>
      <c r="V62" s="29"/>
    </row>
    <row r="63" spans="1:22" ht="15" x14ac:dyDescent="0.2">
      <c r="A63" s="17"/>
      <c r="B63" s="17"/>
      <c r="C63" s="17"/>
      <c r="D63" s="17"/>
      <c r="E63" s="17"/>
      <c r="F63" s="17"/>
      <c r="G63" s="17"/>
      <c r="H63" s="17"/>
      <c r="I63" s="17"/>
      <c r="K63" s="68">
        <f>K59</f>
        <v>9.24</v>
      </c>
      <c r="L63" s="44">
        <v>7.35</v>
      </c>
      <c r="M63" s="25"/>
      <c r="N63" s="25"/>
      <c r="O63" s="25"/>
      <c r="Q63" s="29"/>
      <c r="R63" s="29"/>
      <c r="S63" s="29"/>
      <c r="T63" s="29"/>
      <c r="U63" s="27"/>
      <c r="V63" s="29"/>
    </row>
    <row r="64" spans="1:22" x14ac:dyDescent="0.2">
      <c r="K64" s="68">
        <f>K58</f>
        <v>6.16</v>
      </c>
      <c r="L64" s="44">
        <v>6.0399999999999991</v>
      </c>
      <c r="M64" s="25"/>
      <c r="N64" s="25"/>
      <c r="O64" s="25"/>
      <c r="Q64" s="29"/>
      <c r="R64" s="29"/>
      <c r="S64" s="29"/>
      <c r="T64" s="29"/>
      <c r="U64" s="27"/>
      <c r="V64" s="29"/>
    </row>
    <row r="65" spans="5:22" x14ac:dyDescent="0.2">
      <c r="K65" s="68">
        <f>K57</f>
        <v>3.08</v>
      </c>
      <c r="L65" s="44">
        <v>3.7649999999999997</v>
      </c>
      <c r="M65" s="25"/>
      <c r="N65" s="25"/>
      <c r="O65" s="25"/>
      <c r="Q65" s="29"/>
      <c r="R65" s="29"/>
      <c r="S65" s="29"/>
      <c r="T65" s="29"/>
      <c r="U65" s="27"/>
      <c r="V65" s="29"/>
    </row>
    <row r="66" spans="5:22" x14ac:dyDescent="0.2">
      <c r="K66" s="45">
        <v>0</v>
      </c>
      <c r="L66" s="44">
        <v>3.42</v>
      </c>
      <c r="M66" s="25"/>
      <c r="N66" s="25"/>
      <c r="O66" s="25"/>
      <c r="Q66" s="29"/>
      <c r="R66" s="29"/>
      <c r="S66" s="29"/>
      <c r="T66" s="29"/>
      <c r="U66" s="27"/>
      <c r="V66" s="29"/>
    </row>
    <row r="67" spans="5:22" x14ac:dyDescent="0.2">
      <c r="K67" s="46"/>
      <c r="L67" s="44"/>
      <c r="M67" s="25"/>
      <c r="N67" s="25"/>
      <c r="O67" s="25"/>
      <c r="Q67" s="29"/>
      <c r="R67" s="29"/>
      <c r="S67" s="29"/>
      <c r="T67" s="29"/>
      <c r="U67" s="27"/>
      <c r="V67" s="29"/>
    </row>
    <row r="68" spans="5:22" x14ac:dyDescent="0.2">
      <c r="K68" s="45"/>
      <c r="L68" s="44"/>
      <c r="M68" s="25"/>
      <c r="N68" s="25"/>
      <c r="O68" s="25"/>
      <c r="Q68" s="29"/>
      <c r="R68" s="29"/>
      <c r="S68" s="29"/>
      <c r="T68" s="29"/>
      <c r="U68" s="27"/>
      <c r="V68" s="29"/>
    </row>
    <row r="69" spans="5:22" x14ac:dyDescent="0.2">
      <c r="K69" s="45"/>
      <c r="L69" s="44"/>
      <c r="M69" s="25"/>
      <c r="N69" s="25"/>
      <c r="O69" s="25"/>
      <c r="Q69" s="29"/>
      <c r="R69" s="29"/>
      <c r="S69" s="29"/>
      <c r="T69" s="29"/>
      <c r="U69" s="27"/>
      <c r="V69" s="29"/>
    </row>
    <row r="70" spans="5:22" ht="13.5" thickBot="1" x14ac:dyDescent="0.25">
      <c r="K70" s="47"/>
      <c r="L70" s="48"/>
      <c r="M70" s="49"/>
      <c r="N70" s="49"/>
      <c r="O70" s="49"/>
      <c r="P70" s="50"/>
      <c r="Q70" s="50"/>
      <c r="R70" s="50"/>
      <c r="S70" s="50"/>
      <c r="T70" s="50"/>
      <c r="U70" s="51"/>
      <c r="V70" s="29"/>
    </row>
    <row r="72" spans="5:22" ht="13.5" thickBot="1" x14ac:dyDescent="0.25"/>
    <row r="73" spans="5:22" ht="16.5" thickBot="1" x14ac:dyDescent="0.25">
      <c r="K73" s="76" t="s">
        <v>19</v>
      </c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52"/>
    </row>
    <row r="74" spans="5:22" ht="12.75" customHeight="1" x14ac:dyDescent="0.2">
      <c r="K74" s="69" t="str">
        <f>C2</f>
        <v>377 MLD</v>
      </c>
      <c r="L74" s="70"/>
      <c r="M74" s="70"/>
      <c r="N74" s="70"/>
      <c r="O74" s="70"/>
      <c r="P74" s="70"/>
      <c r="Q74" s="70"/>
      <c r="R74" s="70"/>
      <c r="S74" s="70"/>
      <c r="T74" s="70"/>
      <c r="U74" s="71"/>
      <c r="V74" s="53"/>
    </row>
    <row r="75" spans="5:22" x14ac:dyDescent="0.2">
      <c r="K75" s="18" t="s">
        <v>20</v>
      </c>
      <c r="L75" s="19">
        <f>C4</f>
        <v>2</v>
      </c>
      <c r="M75" s="20" t="str">
        <f>M48</f>
        <v>Client</v>
      </c>
      <c r="N75" s="1" t="str">
        <f>N48</f>
        <v>GVPR</v>
      </c>
      <c r="O75" s="21"/>
      <c r="P75" s="19"/>
      <c r="Q75" s="19"/>
      <c r="R75" s="20"/>
      <c r="T75" s="19"/>
      <c r="U75" s="22"/>
      <c r="V75" s="19"/>
    </row>
    <row r="76" spans="5:22" x14ac:dyDescent="0.2">
      <c r="K76" s="23" t="s">
        <v>22</v>
      </c>
      <c r="L76" s="20" t="str">
        <f>H3</f>
        <v>T409</v>
      </c>
      <c r="P76" s="24"/>
      <c r="Q76" s="25"/>
      <c r="S76" s="25"/>
      <c r="T76" s="26"/>
      <c r="U76" s="27"/>
      <c r="V76" s="29"/>
    </row>
    <row r="77" spans="5:22" x14ac:dyDescent="0.2">
      <c r="K77" s="23" t="s">
        <v>23</v>
      </c>
      <c r="L77" s="28"/>
      <c r="N77" s="29"/>
      <c r="O77" s="1" t="s">
        <v>24</v>
      </c>
      <c r="P77" s="72">
        <f>H4</f>
        <v>0</v>
      </c>
      <c r="Q77" s="72"/>
      <c r="R77" s="73">
        <f>H5</f>
        <v>0</v>
      </c>
      <c r="S77" s="73"/>
      <c r="U77" s="27"/>
      <c r="V77" s="29"/>
    </row>
    <row r="78" spans="5:22" x14ac:dyDescent="0.2">
      <c r="K78" s="23" t="s">
        <v>25</v>
      </c>
      <c r="L78" s="1">
        <f>C5</f>
        <v>0</v>
      </c>
      <c r="N78" s="29"/>
      <c r="P78" s="26"/>
      <c r="Q78" s="25"/>
      <c r="R78" s="31"/>
      <c r="S78" s="25"/>
      <c r="T78" s="29"/>
      <c r="U78" s="27"/>
      <c r="V78" s="29"/>
    </row>
    <row r="79" spans="5:22" x14ac:dyDescent="0.2">
      <c r="E79" s="1" t="s">
        <v>39</v>
      </c>
      <c r="K79" s="23" t="s">
        <v>26</v>
      </c>
      <c r="L79" s="32">
        <f>H2</f>
        <v>45259</v>
      </c>
      <c r="P79" s="26"/>
      <c r="Q79" s="33"/>
      <c r="R79" s="31"/>
      <c r="S79" s="25"/>
      <c r="T79" s="29"/>
      <c r="U79" s="27"/>
      <c r="V79" s="29"/>
    </row>
    <row r="80" spans="5:22" ht="16.5" customHeight="1" x14ac:dyDescent="0.25">
      <c r="K80" s="23"/>
      <c r="N80" s="74" t="s">
        <v>30</v>
      </c>
      <c r="O80" s="74"/>
      <c r="P80" s="74"/>
      <c r="Q80" s="74"/>
      <c r="R80" s="74"/>
      <c r="S80" s="74"/>
      <c r="T80" s="74"/>
      <c r="U80" s="27"/>
      <c r="V80" s="29"/>
    </row>
    <row r="81" spans="8:22" x14ac:dyDescent="0.2">
      <c r="K81" s="23"/>
      <c r="Q81" s="26"/>
      <c r="R81" s="31"/>
      <c r="S81" s="31"/>
      <c r="U81" s="27"/>
      <c r="V81" s="29"/>
    </row>
    <row r="82" spans="8:22" ht="27" x14ac:dyDescent="0.2">
      <c r="K82" s="54" t="s">
        <v>31</v>
      </c>
      <c r="L82" s="55" t="s">
        <v>32</v>
      </c>
      <c r="N82" s="38"/>
      <c r="O82" s="38"/>
      <c r="P82" s="38"/>
      <c r="Q82" s="29"/>
      <c r="R82" s="29"/>
      <c r="S82" s="29"/>
      <c r="T82" s="29"/>
      <c r="U82" s="39"/>
      <c r="V82" s="37"/>
    </row>
    <row r="83" spans="8:22" x14ac:dyDescent="0.2">
      <c r="K83" s="56">
        <v>0</v>
      </c>
      <c r="L83" s="44">
        <v>0</v>
      </c>
      <c r="M83" s="53"/>
      <c r="N83" s="53"/>
      <c r="O83" s="25"/>
      <c r="Q83" s="29"/>
      <c r="R83" s="29"/>
      <c r="S83" s="29"/>
      <c r="T83" s="29"/>
      <c r="U83" s="27"/>
      <c r="V83" s="29"/>
    </row>
    <row r="84" spans="8:22" x14ac:dyDescent="0.2">
      <c r="K84" s="42">
        <v>3.08</v>
      </c>
      <c r="L84" s="43">
        <v>0.26500000000000001</v>
      </c>
      <c r="M84" s="57"/>
      <c r="N84" s="57"/>
      <c r="O84" s="25"/>
      <c r="Q84" s="29"/>
      <c r="R84" s="29"/>
      <c r="S84" s="29"/>
      <c r="T84" s="29"/>
      <c r="U84" s="27"/>
      <c r="V84" s="29"/>
    </row>
    <row r="85" spans="8:22" x14ac:dyDescent="0.2">
      <c r="K85" s="42">
        <v>6.16</v>
      </c>
      <c r="L85" s="43">
        <v>1.6800000000000002</v>
      </c>
      <c r="M85" s="57"/>
      <c r="N85" s="57"/>
      <c r="O85" s="25"/>
      <c r="Q85" s="29"/>
      <c r="R85" s="29"/>
      <c r="S85" s="29"/>
      <c r="T85" s="29"/>
      <c r="U85" s="27"/>
      <c r="V85" s="29"/>
    </row>
    <row r="86" spans="8:22" x14ac:dyDescent="0.2">
      <c r="K86" s="42">
        <v>9.24</v>
      </c>
      <c r="L86" s="43">
        <v>3.72</v>
      </c>
      <c r="M86" s="57"/>
      <c r="N86" s="57"/>
      <c r="O86" s="25"/>
      <c r="Q86" s="29"/>
      <c r="R86" s="29"/>
      <c r="S86" s="29"/>
      <c r="T86" s="29"/>
      <c r="U86" s="27"/>
      <c r="V86" s="29"/>
    </row>
    <row r="87" spans="8:22" x14ac:dyDescent="0.2">
      <c r="H87" s="1">
        <v>9.24</v>
      </c>
      <c r="I87" s="1">
        <v>3.72</v>
      </c>
      <c r="K87" s="42">
        <v>12.32</v>
      </c>
      <c r="L87" s="43">
        <v>5.58</v>
      </c>
      <c r="M87" s="57"/>
      <c r="N87" s="57"/>
      <c r="O87" s="25"/>
      <c r="Q87" s="29"/>
      <c r="R87" s="29"/>
      <c r="S87" s="29"/>
      <c r="T87" s="29"/>
      <c r="U87" s="27"/>
      <c r="V87" s="29"/>
    </row>
    <row r="88" spans="8:22" x14ac:dyDescent="0.2">
      <c r="H88" s="1">
        <f>(H87*I88)/I87</f>
        <v>12.419354838709678</v>
      </c>
      <c r="I88" s="1">
        <v>5</v>
      </c>
      <c r="K88" s="42">
        <v>14.63</v>
      </c>
      <c r="L88" s="43">
        <v>7.5150000000000006</v>
      </c>
      <c r="M88" s="57"/>
      <c r="N88" s="57"/>
      <c r="O88" s="25"/>
      <c r="Q88" s="29"/>
      <c r="R88" s="29"/>
      <c r="S88" s="29"/>
      <c r="T88" s="29"/>
      <c r="U88" s="27"/>
      <c r="V88" s="29"/>
    </row>
    <row r="89" spans="8:22" x14ac:dyDescent="0.2">
      <c r="H89" s="1">
        <v>12.32</v>
      </c>
      <c r="I89" s="1">
        <v>5.58</v>
      </c>
      <c r="K89" s="42">
        <v>12.32</v>
      </c>
      <c r="L89" s="43">
        <v>7.4450000000000003</v>
      </c>
      <c r="M89" s="57"/>
      <c r="N89" s="57"/>
      <c r="O89" s="25"/>
      <c r="Q89" s="29"/>
      <c r="R89" s="29"/>
      <c r="S89" s="29"/>
      <c r="T89" s="29"/>
      <c r="U89" s="27"/>
      <c r="V89" s="29"/>
    </row>
    <row r="90" spans="8:22" x14ac:dyDescent="0.2">
      <c r="K90" s="45">
        <v>9.24</v>
      </c>
      <c r="L90" s="43">
        <v>7.35</v>
      </c>
      <c r="M90" s="57"/>
      <c r="N90" s="57"/>
      <c r="O90" s="25"/>
      <c r="Q90" s="29"/>
      <c r="R90" s="29"/>
      <c r="S90" s="29"/>
      <c r="T90" s="29"/>
      <c r="U90" s="27"/>
      <c r="V90" s="29"/>
    </row>
    <row r="91" spans="8:22" x14ac:dyDescent="0.2">
      <c r="I91" s="1">
        <v>11.35</v>
      </c>
      <c r="K91" s="45">
        <v>6.16</v>
      </c>
      <c r="L91" s="43">
        <v>6.0399999999999991</v>
      </c>
      <c r="M91" s="57"/>
      <c r="N91" s="57"/>
      <c r="O91" s="25"/>
      <c r="Q91" s="29"/>
      <c r="R91" s="29"/>
      <c r="S91" s="29"/>
      <c r="T91" s="29"/>
      <c r="U91" s="27"/>
      <c r="V91" s="29"/>
    </row>
    <row r="92" spans="8:22" x14ac:dyDescent="0.2">
      <c r="K92" s="45">
        <v>3.08</v>
      </c>
      <c r="L92" s="43">
        <v>3.7649999999999997</v>
      </c>
      <c r="M92" s="57"/>
      <c r="N92" s="25"/>
      <c r="O92" s="25"/>
      <c r="Q92" s="29"/>
      <c r="R92" s="29"/>
      <c r="S92" s="29"/>
      <c r="T92" s="29"/>
      <c r="U92" s="27"/>
      <c r="V92" s="29"/>
    </row>
    <row r="93" spans="8:22" x14ac:dyDescent="0.2">
      <c r="K93" s="45">
        <v>0</v>
      </c>
      <c r="L93" s="43">
        <v>3.42</v>
      </c>
      <c r="M93" s="57"/>
      <c r="N93" s="25"/>
      <c r="O93" s="25"/>
      <c r="Q93" s="29"/>
      <c r="R93" s="29"/>
      <c r="S93" s="29"/>
      <c r="T93" s="29"/>
      <c r="U93" s="27"/>
      <c r="V93" s="29"/>
    </row>
    <row r="94" spans="8:22" x14ac:dyDescent="0.2">
      <c r="K94" s="46"/>
      <c r="L94" s="44"/>
      <c r="M94" s="57"/>
      <c r="N94" s="25"/>
      <c r="O94" s="25"/>
      <c r="Q94" s="29"/>
      <c r="R94" s="29"/>
      <c r="S94" s="29"/>
      <c r="T94" s="29"/>
      <c r="U94" s="27"/>
      <c r="V94" s="29"/>
    </row>
    <row r="95" spans="8:22" x14ac:dyDescent="0.2">
      <c r="K95" s="58"/>
      <c r="L95" s="44"/>
      <c r="M95" s="25"/>
      <c r="N95" s="25"/>
      <c r="O95" s="25"/>
      <c r="Q95" s="29"/>
      <c r="R95" s="29"/>
      <c r="S95" s="29"/>
      <c r="T95" s="29"/>
      <c r="U95" s="27"/>
      <c r="V95" s="29"/>
    </row>
    <row r="96" spans="8:22" x14ac:dyDescent="0.2">
      <c r="K96" s="59"/>
      <c r="L96" s="60"/>
      <c r="M96" s="25"/>
      <c r="N96" s="25"/>
      <c r="O96" s="25"/>
      <c r="Q96" s="29"/>
      <c r="R96" s="29"/>
      <c r="S96" s="29"/>
      <c r="T96" s="29"/>
      <c r="U96" s="27"/>
      <c r="V96" s="29"/>
    </row>
    <row r="97" spans="8:22" ht="13.5" thickBot="1" x14ac:dyDescent="0.25">
      <c r="K97" s="61"/>
      <c r="L97" s="62"/>
      <c r="M97" s="49"/>
      <c r="N97" s="49"/>
      <c r="O97" s="49"/>
      <c r="P97" s="50"/>
      <c r="Q97" s="50"/>
      <c r="R97" s="50"/>
      <c r="S97" s="50"/>
      <c r="T97" s="50"/>
      <c r="U97" s="51"/>
      <c r="V97" s="29"/>
    </row>
    <row r="98" spans="8:22" x14ac:dyDescent="0.2">
      <c r="H98" s="1">
        <v>4</v>
      </c>
      <c r="L98" s="26"/>
    </row>
    <row r="99" spans="8:22" x14ac:dyDescent="0.2">
      <c r="L99" s="26"/>
    </row>
    <row r="100" spans="8:22" ht="18.75" customHeight="1" x14ac:dyDescent="0.2"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</row>
  </sheetData>
  <mergeCells count="54">
    <mergeCell ref="A3:B3"/>
    <mergeCell ref="C3:D3"/>
    <mergeCell ref="E3:F3"/>
    <mergeCell ref="H3:I3"/>
    <mergeCell ref="A1:I1"/>
    <mergeCell ref="A2:B2"/>
    <mergeCell ref="C2:D2"/>
    <mergeCell ref="E2:F2"/>
    <mergeCell ref="H2:I2"/>
    <mergeCell ref="I9:I14"/>
    <mergeCell ref="A4:B4"/>
    <mergeCell ref="C4:D4"/>
    <mergeCell ref="E4:F4"/>
    <mergeCell ref="H4:I4"/>
    <mergeCell ref="A5:B5"/>
    <mergeCell ref="C5:D5"/>
    <mergeCell ref="E5:F5"/>
    <mergeCell ref="H5:I5"/>
    <mergeCell ref="E7:G7"/>
    <mergeCell ref="A9:A15"/>
    <mergeCell ref="B9:B15"/>
    <mergeCell ref="C9:C15"/>
    <mergeCell ref="H9:H14"/>
    <mergeCell ref="A23:A29"/>
    <mergeCell ref="B23:B29"/>
    <mergeCell ref="C23:C29"/>
    <mergeCell ref="H23:H28"/>
    <mergeCell ref="I23:I28"/>
    <mergeCell ref="A16:A22"/>
    <mergeCell ref="B16:B22"/>
    <mergeCell ref="C16:C22"/>
    <mergeCell ref="H16:H21"/>
    <mergeCell ref="I16:I21"/>
    <mergeCell ref="K73:U73"/>
    <mergeCell ref="A30:A36"/>
    <mergeCell ref="B30:B36"/>
    <mergeCell ref="C30:C36"/>
    <mergeCell ref="H30:H35"/>
    <mergeCell ref="I30:I35"/>
    <mergeCell ref="A37:A39"/>
    <mergeCell ref="B37:B39"/>
    <mergeCell ref="C37:C39"/>
    <mergeCell ref="H37:H39"/>
    <mergeCell ref="I37:I39"/>
    <mergeCell ref="K46:U46"/>
    <mergeCell ref="K47:U47"/>
    <mergeCell ref="P50:Q50"/>
    <mergeCell ref="R50:S50"/>
    <mergeCell ref="N53:T53"/>
    <mergeCell ref="K74:U74"/>
    <mergeCell ref="P77:Q77"/>
    <mergeCell ref="R77:S77"/>
    <mergeCell ref="N80:T80"/>
    <mergeCell ref="K100:U100"/>
  </mergeCells>
  <pageMargins left="1.41" right="0.22" top="1" bottom="0.65" header="0.5" footer="0.5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TP-03</vt:lpstr>
      <vt:lpstr>TP-03 (2)</vt:lpstr>
      <vt:lpstr>TP-03 (3)</vt:lpstr>
      <vt:lpstr>TP-03 (4)</vt:lpstr>
      <vt:lpstr>TP-03 (5)</vt:lpstr>
      <vt:lpstr>AIGIS-T409-P14</vt:lpstr>
      <vt:lpstr>AIGIS-T412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Shaikh Sohel</cp:lastModifiedBy>
  <dcterms:created xsi:type="dcterms:W3CDTF">2021-12-05T06:27:31Z</dcterms:created>
  <dcterms:modified xsi:type="dcterms:W3CDTF">2026-07-04T05:19:13Z</dcterms:modified>
</cp:coreProperties>
</file>